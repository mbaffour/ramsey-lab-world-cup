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996b8df43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3dbec88758f4c74"/>
    <x:sheet xmlns:r="http://schemas.openxmlformats.org/officeDocument/2006/relationships" name="Setup" sheetId="2" r:id="R36e921e8258f4f9e"/>
    <x:sheet xmlns:r="http://schemas.openxmlformats.org/officeDocument/2006/relationships" name="Matches" sheetId="3" r:id="Rba2ab3cda2144f94"/>
    <x:sheet xmlns:r="http://schemas.openxmlformats.org/officeDocument/2006/relationships" name="Form Responses 1" sheetId="4" r:id="Rc7f388d62330475f"/>
    <x:sheet xmlns:r="http://schemas.openxmlformats.org/officeDocument/2006/relationships" name="Scoring" sheetId="5" r:id="R81baaba993f4436d"/>
    <x:sheet xmlns:r="http://schemas.openxmlformats.org/officeDocument/2006/relationships" name="Leaderboard" sheetId="6" r:id="Ree4caddecdcf4bb7"/>
    <x:sheet xmlns:r="http://schemas.openxmlformats.org/officeDocument/2006/relationships" name="Dashboard" sheetId="7" r:id="R9c7cd4aa291c4ba1"/>
    <x:sheet xmlns:r="http://schemas.openxmlformats.org/officeDocument/2006/relationships" name="Fun Awards" sheetId="8" r:id="Rc43ae8d56392494e"/>
    <x:sheet xmlns:r="http://schemas.openxmlformats.org/officeDocument/2006/relationships" name="Form Setup" sheetId="9" r:id="Reb99c69b345042cf"/>
    <x:sheet xmlns:r="http://schemas.openxmlformats.org/officeDocument/2006/relationships" name="Participants" sheetId="10" r:id="Rd721681e44b9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sz val="12"/>
      <x:color rgb="FF111827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sz val="11"/>
      <x:color rgb="FF7C2D12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AFC"/>
      </x:patternFill>
    </x:fill>
    <x:fill>
      <x:patternFill patternType="solid">
        <x:fgColor rgb="FF457B9D"/>
      </x:patternFill>
    </x:fill>
    <x:fill>
      <x:patternFill patternType="solid">
        <x:fgColor rgb="FFFFFFFF"/>
      </x:patternFill>
    </x:fill>
    <x:fill>
      <x:patternFill patternType="solid">
        <x:fgColor rgb="FFE76F51"/>
      </x:patternFill>
    </x:fill>
    <x:fill>
      <x:patternFill patternType="solid">
        <x:fgColor rgb="FFFFF7ED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EFF6FF"/>
      </x:patternFill>
    </x:fill>
    <x:fill>
      <x:patternFill patternType="solid">
        <x:fgColor rgb="FF2A9D8F"/>
      </x:patternFill>
    </x:fill>
  </x:fills>
  <x:borders count="1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</x:border>
    <x:border>
      <x:right style="thin">
        <x:color rgb="FFFDBA74"/>
      </x:right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9" xfId="0" applyNumberFormat="1" applyFont="1" applyFill="1" applyBorder="1"/>
    <x:xf numFmtId="0" fontId="5" fillId="7" borderId="10" xfId="0" applyNumberFormat="1" applyFont="1" applyFill="1" applyBorder="1"/>
    <x:xf numFmtId="0" fontId="5" fillId="7" borderId="3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wrapText="1"/>
    </x:xf>
    <x:xf numFmtId="0" fontId="5" fillId="7" borderId="1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2" xfId="0" applyNumberFormat="1" applyFont="1" applyFill="1" applyBorder="1"/>
    <x:xf numFmtId="200" fontId="4" fillId="5" borderId="2" xfId="0" applyNumberFormat="1" applyFont="1" applyFill="1" applyBorder="1" applyAlignment="1">
      <x:alignment wrapText="1"/>
    </x:xf>
    <x:xf numFmtId="200" fontId="4" fillId="5" borderId="2" xfId="0" applyNumberFormat="1" applyFont="1" applyFill="1" applyBorder="1" applyAlignment="1">
      <x:alignment vertical="center" wrapText="1"/>
    </x:xf>
    <x:xf numFmtId="201" fontId="4" fillId="5" borderId="2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4" fillId="9" borderId="11" xfId="0" applyNumberFormat="1" applyFont="1" applyFill="1" applyBorder="1" applyAlignment="1">
      <x:alignment vertical="center" wrapText="1"/>
    </x:xf>
    <x:xf numFmtId="0" fontId="4" fillId="10" borderId="2" xfId="0" applyNumberFormat="1" applyFont="1" applyFill="1" applyBorder="1" applyAlignment="1">
      <x:alignment vertical="center" wrapText="1"/>
    </x:xf>
    <x:xf numFmtId="0" fontId="4" fillId="10" borderId="12" xfId="0" applyNumberFormat="1" applyFont="1" applyFill="1" applyBorder="1" applyAlignment="1">
      <x:alignment vertical="center" wrapText="1"/>
    </x:xf>
    <x:xf numFmtId="202" fontId="4" fillId="5" borderId="2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52738f5f644dc5" /><Relationship Type="http://schemas.openxmlformats.org/officeDocument/2006/relationships/theme" Target="/xl/theme/theme1.xml" Id="R20c90b7cf7ec4f4a" /><Relationship Type="http://schemas.openxmlformats.org/officeDocument/2006/relationships/sharedStrings" Target="/xl/sharedStrings.xml" Id="R33115cc6c6d74137" /><Relationship Type="http://schemas.openxmlformats.org/officeDocument/2006/relationships/worksheet" Target="/xl/worksheets/sheet1.xml" Id="R33dbec88758f4c74" /><Relationship Type="http://schemas.openxmlformats.org/officeDocument/2006/relationships/worksheet" Target="/xl/worksheets/sheet2.xml" Id="R36e921e8258f4f9e" /><Relationship Type="http://schemas.openxmlformats.org/officeDocument/2006/relationships/worksheet" Target="/xl/worksheets/sheet3.xml" Id="Rba2ab3cda2144f94" /><Relationship Type="http://schemas.openxmlformats.org/officeDocument/2006/relationships/worksheet" Target="/xl/worksheets/sheet4.xml" Id="Rc7f388d62330475f" /><Relationship Type="http://schemas.openxmlformats.org/officeDocument/2006/relationships/worksheet" Target="/xl/worksheets/sheet5.xml" Id="R81baaba993f4436d" /><Relationship Type="http://schemas.openxmlformats.org/officeDocument/2006/relationships/worksheet" Target="/xl/worksheets/sheet6.xml" Id="Ree4caddecdcf4bb7" /><Relationship Type="http://schemas.openxmlformats.org/officeDocument/2006/relationships/worksheet" Target="/xl/worksheets/sheet7.xml" Id="R9c7cd4aa291c4ba1" /><Relationship Type="http://schemas.openxmlformats.org/officeDocument/2006/relationships/worksheet" Target="/xl/worksheets/sheet8.xml" Id="Rc43ae8d56392494e" /><Relationship Type="http://schemas.openxmlformats.org/officeDocument/2006/relationships/worksheet" Target="/xl/worksheets/sheet9.xml" Id="Reb99c69b345042cf" /><Relationship Type="http://schemas.openxmlformats.org/officeDocument/2006/relationships/worksheet" Target="/xl/worksheets/sheet10.xml" Id="Rd721681e44b948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65" hidden="0" customWidth="1"/>
    <x:col min="3" max="3" width="2.5" hidden="0" customWidth="1"/>
    <x:col min="4" max="4" width="7.5" hidden="0" customWidth="1"/>
    <x:col min="5" max="5" width="4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1.5" customHeight="1">
      <x:c r="A1" s="4" t="str">
        <x:v>Ramsey Lab World Cup Challenge</x:v>
      </x:c>
      <x:c r="B1" s="4" t="str">
        <x:v>Ramsey Lab World Cup Challenge</x:v>
      </x:c>
      <x:c r="C1" s="4" t="str">
        <x:v>Ramsey Lab World Cup Challenge</x:v>
      </x:c>
      <x:c r="D1" s="4" t="str">
        <x:v>Ramsey Lab World Cup Challenge</x:v>
      </x:c>
      <x:c r="E1" s="4" t="str">
        <x:v>Ramsey Lab World Cup Challenge</x:v>
      </x:c>
      <x:c r="F1" s="4" t="str">
        <x:v>Ramsey Lab World Cup Challenge</x:v>
      </x:c>
      <x:c r="G1" s="4" t="str">
        <x:v>Ramsey Lab World Cup Challenge</x:v>
      </x:c>
      <x:c r="H1" s="4" t="str">
        <x:v>Ramsey Lab World Cup Challenge</x:v>
      </x:c>
    </x:row>
    <x:row r="3">
      <x:c r="A3" s="7" t="str">
        <x:v>A live Google Sheets game for match predictions, lab trash talk, exact-score bonuses, and a leaderboard that updates as submissions come in.</x:v>
      </x:c>
      <x:c r="B3" s="7" t="str">
        <x:v>A live Google Sheets game for match predictions, lab trash talk, exact-score bonuses, and a leaderboard that updates as submissions come in.</x:v>
      </x:c>
      <x:c r="C3" s="7" t="str">
        <x:v>A live Google Sheets game for match predictions, lab trash talk, exact-score bonuses, and a leaderboard that updates as submissions come in.</x:v>
      </x:c>
      <x:c r="D3" s="7" t="str">
        <x:v>A live Google Sheets game for match predictions, lab trash talk, exact-score bonuses, and a leaderboard that updates as submissions come in.</x:v>
      </x:c>
      <x:c r="E3" s="7" t="str">
        <x:v>A live Google Sheets game for match predictions, lab trash talk, exact-score bonuses, and a leaderboard that updates as submissions come in.</x:v>
      </x:c>
      <x:c r="F3" s="7" t="str">
        <x:v>A live Google Sheets game for match predictions, lab trash talk, exact-score bonuses, and a leaderboard that updates as submissions come in.</x:v>
      </x:c>
      <x:c r="G3" s="7" t="str">
        <x:v>A live Google Sheets game for match predictions, lab trash talk, exact-score bonuses, and a leaderboard that updates as submissions come in.</x:v>
      </x:c>
      <x:c r="H3" s="7" t="str">
        <x:v>A live Google Sheets game for match predictions, lab trash talk, exact-score bonuses, and a leaderboard that updates as submissions come in.</x:v>
      </x:c>
    </x:row>
    <x:row r="5">
      <x:c r="A5" s="13" t="str">
        <x:v>What the lab uses</x:v>
      </x:c>
      <x:c r="B5" s="13" t="str">
        <x:v>Share the Google Form. Players submit name, match ID, prediction, and optional exact score.</x:v>
      </x:c>
      <x:c r="D5" s="24" t="str">
        <x:v>Quick admin checklist</x:v>
      </x:c>
      <x:c r="E5" s="24"/>
      <x:c r="F5" s="24"/>
      <x:c r="G5" s="24"/>
      <x:c r="H5" s="24"/>
    </x:row>
    <x:row r="6">
      <x:c r="A6" s="18" t="str">
        <x:v>What the admin updates</x:v>
      </x:c>
      <x:c r="B6" s="18" t="str">
        <x:v>Enter final scores in Matches columns I:J and knockout advancing teams in column L.</x:v>
      </x:c>
      <x:c r="D6" s="18" t="str">
        <x:v>1</x:v>
      </x:c>
      <x:c r="E6" s="18" t="str">
        <x:v>Confirm Matches!D:D local kickoff times for your lab time zone.</x:v>
      </x:c>
      <x:c r="F6" s="18"/>
      <x:c r="G6" s="18"/>
      <x:c r="H6" s="18"/>
    </x:row>
    <x:row r="7">
      <x:c r="A7" s="18" t="str">
        <x:v>What updates live</x:v>
      </x:c>
      <x:c r="B7" s="18" t="str">
        <x:v>Scoring, Leaderboard, Dashboard, Participants, and Fun Awards.</x:v>
      </x:c>
      <x:c r="D7" s="18" t="str">
        <x:v>2</x:v>
      </x:c>
      <x:c r="E7" s="18" t="str">
        <x:v>Create the Google Form using the exact question names in Form Setup.</x:v>
      </x:c>
      <x:c r="F7" s="18"/>
      <x:c r="G7" s="18"/>
      <x:c r="H7" s="18"/>
    </x:row>
    <x:row r="8">
      <x:c r="A8" s="18" t="str">
        <x:v>Scoring</x:v>
      </x:c>
      <x:c r="B8" s="18" t="str">
        <x:v>Correct result or advancing team = 3. Wrong eligible prediction = -1. Exact score bonus = 10. Late picks = 0.</x:v>
      </x:c>
      <x:c r="D8" s="18" t="str">
        <x:v>3</x:v>
      </x:c>
      <x:c r="E8" s="18" t="str">
        <x:v>Link the form responses to this spreadsheet.</x:v>
      </x:c>
      <x:c r="F8" s="18"/>
      <x:c r="G8" s="18"/>
      <x:c r="H8" s="18"/>
    </x:row>
    <x:row r="9">
      <x:c r="A9" s="18" t="str">
        <x:v>Late rule</x:v>
      </x:c>
      <x:c r="B9" s="18" t="str">
        <x:v>A prediction submitted at or after the local kickoff timestamp scores 0, except Match ID 1 can be submitted anytime.</x:v>
      </x:c>
      <x:c r="D9" s="18" t="str">
        <x:v>4</x:v>
      </x:c>
      <x:c r="E9" s="18" t="str">
        <x:v>Submit one test response and confirm it appears in Scoring and Leaderboard.</x:v>
      </x:c>
      <x:c r="F9" s="18"/>
      <x:c r="G9" s="18"/>
      <x:c r="H9" s="18"/>
    </x:row>
    <x:row r="10">
      <x:c r="A10" s="18" t="str">
        <x:v>Google Forms tab</x:v>
      </x:c>
      <x:c r="B10" s="18" t="str">
        <x:v>Link a form to this spreadsheet. If Google creates a new response tab, rename it to Form Responses 1 or update Scoring formulas.</x:v>
      </x:c>
      <x:c r="D10" s="18" t="str">
        <x:v>5</x:v>
      </x:c>
      <x:c r="E10" s="18" t="str">
        <x:v>Share the form link with the lab.</x:v>
      </x:c>
      <x:c r="F10" s="18"/>
      <x:c r="G10" s="18"/>
      <x:c r="H10" s="18"/>
    </x:row>
    <x:row r="11">
      <x:c r="A11" s="18" t="str">
        <x:v>Fairness</x:v>
      </x:c>
      <x:c r="B11" s="18" t="str">
        <x:v>Turn off response editing and close each matchday form before kickoff if you want the cleanest game.</x:v>
      </x:c>
      <x:c r="D11" s="18" t="str">
        <x:v>6</x:v>
      </x:c>
      <x:c r="E11" s="18" t="str">
        <x:v>Update final results in Matches after each game.</x:v>
      </x:c>
      <x:c r="F11" s="18"/>
      <x:c r="G11" s="18"/>
      <x:c r="H11" s="18"/>
    </x:row>
    <x:row r="12">
      <x:c r="A12" s="18" t="str">
        <x:v>Launch flow</x:v>
      </x:c>
      <x:c r="B12" s="18" t="str">
        <x:v>Upload this workbook to Google Sheets, create/link the form, test one fake response, then share the form with the lab.</x:v>
      </x:c>
      <x:c r="D12" s="18" t="str">
        <x:v>7</x:v>
      </x:c>
      <x:c r="E12" s="18" t="str">
        <x:v>Project Dashboard during lab meeting for maximum chaos.</x:v>
      </x:c>
      <x:c r="F12" s="18"/>
      <x:c r="G12" s="18"/>
      <x:c r="H12" s="18"/>
    </x:row>
    <x:row r="14">
      <x:c r="A14" s="35" t="str">
        <x:v>Tip: the workbook is script-free. Everything is visible formulas so people can audit the scoring and you can move it between Excel, Google Sheets, and GitHub without code permissions.</x:v>
      </x:c>
      <x:c r="B14" s="36" t="str">
        <x:v>Tip: the workbook is script-free. Everything is visible formulas so people can audit the scoring and you can move it between Excel, Google Sheets, and GitHub without code permissions.</x:v>
      </x:c>
      <x:c r="C14" s="36" t="str">
        <x:v>Tip: the workbook is script-free. Everything is visible formulas so people can audit the scoring and you can move it between Excel, Google Sheets, and GitHub without code permissions.</x:v>
      </x:c>
      <x:c r="D14" s="36" t="str">
        <x:v>Tip: the workbook is script-free. Everything is visible formulas so people can audit the scoring and you can move it between Excel, Google Sheets, and GitHub without code permissions.</x:v>
      </x:c>
      <x:c r="E14" s="36" t="str">
        <x:v>Tip: the workbook is script-free. Everything is visible formulas so people can audit the scoring and you can move it between Excel, Google Sheets, and GitHub without code permissions.</x:v>
      </x:c>
      <x:c r="F14" s="36" t="str">
        <x:v>Tip: the workbook is script-free. Everything is visible formulas so people can audit the scoring and you can move it between Excel, Google Sheets, and GitHub without code permissions.</x:v>
      </x:c>
      <x:c r="G14" s="36" t="str">
        <x:v>Tip: the workbook is script-free. Everything is visible formulas so people can audit the scoring and you can move it between Excel, Google Sheets, and GitHub without code permissions.</x:v>
      </x:c>
      <x:c r="H14" s="37" t="str">
        <x:v>Tip: the workbook is script-free. Everything is visible formulas so people can audit the scoring and you can move it between Excel, Google Sheets, and GitHub without code permissions.</x:v>
      </x:c>
    </x:row>
    <x:row r="15">
      <x:c r="A15" s="38" t="str">
        <x:v>Tip: the workbook is script-free. Everything is visible formulas so people can audit the scoring and you can move it between Excel, Google Sheets, and GitHub without code permissions.</x:v>
      </x:c>
      <x:c r="B15" s="39" t="str">
        <x:v>Tip: the workbook is script-free. Everything is visible formulas so people can audit the scoring and you can move it between Excel, Google Sheets, and GitHub without code permissions.</x:v>
      </x:c>
      <x:c r="C15" s="39" t="str">
        <x:v>Tip: the workbook is script-free. Everything is visible formulas so people can audit the scoring and you can move it between Excel, Google Sheets, and GitHub without code permissions.</x:v>
      </x:c>
      <x:c r="D15" s="39" t="str">
        <x:v>Tip: the workbook is script-free. Everything is visible formulas so people can audit the scoring and you can move it between Excel, Google Sheets, and GitHub without code permissions.</x:v>
      </x:c>
      <x:c r="E15" s="39" t="str">
        <x:v>Tip: the workbook is script-free. Everything is visible formulas so people can audit the scoring and you can move it between Excel, Google Sheets, and GitHub without code permissions.</x:v>
      </x:c>
      <x:c r="F15" s="39" t="str">
        <x:v>Tip: the workbook is script-free. Everything is visible formulas so people can audit the scoring and you can move it between Excel, Google Sheets, and GitHub without code permissions.</x:v>
      </x:c>
      <x:c r="G15" s="39" t="str">
        <x:v>Tip: the workbook is script-free. Everything is visible formulas so people can audit the scoring and you can move it between Excel, Google Sheets, and GitHub without code permissions.</x:v>
      </x:c>
      <x:c r="H15" s="40" t="str">
        <x:v>Tip: the workbook is script-free. Everything is visible formulas so people can audit the scoring and you can move it between Excel, Google Sheets, and GitHub without code permissions.</x:v>
      </x:c>
    </x:row>
    <x:row r="16">
      <x:c r="A16" s="41" t="str">
        <x:v>Tip: the workbook is script-free. Everything is visible formulas so people can audit the scoring and you can move it between Excel, Google Sheets, and GitHub without code permissions.</x:v>
      </x:c>
      <x:c r="B16" s="42" t="str">
        <x:v>Tip: the workbook is script-free. Everything is visible formulas so people can audit the scoring and you can move it between Excel, Google Sheets, and GitHub without code permissions.</x:v>
      </x:c>
      <x:c r="C16" s="42" t="str">
        <x:v>Tip: the workbook is script-free. Everything is visible formulas so people can audit the scoring and you can move it between Excel, Google Sheets, and GitHub without code permissions.</x:v>
      </x:c>
      <x:c r="D16" s="42" t="str">
        <x:v>Tip: the workbook is script-free. Everything is visible formulas so people can audit the scoring and you can move it between Excel, Google Sheets, and GitHub without code permissions.</x:v>
      </x:c>
      <x:c r="E16" s="42" t="str">
        <x:v>Tip: the workbook is script-free. Everything is visible formulas so people can audit the scoring and you can move it between Excel, Google Sheets, and GitHub without code permissions.</x:v>
      </x:c>
      <x:c r="F16" s="42" t="str">
        <x:v>Tip: the workbook is script-free. Everything is visible formulas so people can audit the scoring and you can move it between Excel, Google Sheets, and GitHub without code permissions.</x:v>
      </x:c>
      <x:c r="G16" s="42" t="str">
        <x:v>Tip: the workbook is script-free. Everything is visible formulas so people can audit the scoring and you can move it between Excel, Google Sheets, and GitHub without code permissions.</x:v>
      </x:c>
      <x:c r="H16" s="43" t="str">
        <x:v>Tip: the workbook is script-free. Everything is visible formulas so people can audit the scoring and you can move it between Excel, Google Sheets, and GitHub without code permissions.</x:v>
      </x:c>
    </x:row>
  </x:sheetData>
  <x:mergeCells>
    <x:mergeCell ref="A1:H1"/>
    <x:mergeCell ref="A3:H3"/>
    <x:mergeCell ref="D5:H5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8.75" hidden="0" customWidth="1"/>
    <x:col min="4" max="4" width="30" hidden="0" customWidth="1"/>
    <x:col min="5" max="5" width="2.5" hidden="0" customWidth="1"/>
    <x:col min="6" max="6" width="22.5" hidden="0" customWidth="1"/>
    <x:col min="7" max="7" width="30" hidden="0" customWidth="1"/>
    <x:col min="8" max="8" width="13.75" hidden="0" customWidth="1"/>
  </x:cols>
  <x:sheetData>
    <x:row r="1">
      <x:c r="A1" s="49" t="str">
        <x:v>Participant Name</x:v>
      </x:c>
      <x:c r="B1" s="49" t="str">
        <x:v>Lab Nickname</x:v>
      </x:c>
      <x:c r="C1" s="49" t="str">
        <x:v>Favorite Team</x:v>
      </x:c>
      <x:c r="D1" s="49" t="str">
        <x:v>Notes</x:v>
      </x:c>
      <x:c r="E1" s="49" t="str"/>
      <x:c r="F1" s="49" t="str">
        <x:v>Valid Group Outcomes</x:v>
      </x:c>
      <x:c r="G1" s="49" t="str">
        <x:v>Scoring</x:v>
      </x:c>
      <x:c r="H1" s="49" t="str">
        <x:v>Points</x:v>
      </x:c>
    </x:row>
    <x:row r="2">
      <x:c r="A2" s="18"/>
      <x:c r="B2" s="18"/>
      <x:c r="C2" s="18"/>
      <x:c r="D2" s="18"/>
      <x:c r="E2" s="18"/>
      <x:c r="F2" s="18" t="str">
        <x:v>Home</x:v>
      </x:c>
      <x:c r="G2" s="18" t="str">
        <x:v>Correct result/team advancing</x:v>
      </x:c>
      <x:c r="H2" s="18" t="n">
        <x:v>3</x:v>
      </x:c>
    </x:row>
    <x:row r="3">
      <x:c r="A3" s="18"/>
      <x:c r="B3" s="18"/>
      <x:c r="C3" s="18"/>
      <x:c r="D3" s="18"/>
      <x:c r="E3" s="18"/>
      <x:c r="F3" s="18" t="str">
        <x:v>Draw</x:v>
      </x:c>
      <x:c r="G3" s="18" t="str">
        <x:v>Wrong result/team advancing</x:v>
      </x:c>
      <x:c r="H3" s="18" t="n">
        <x:v>-1</x:v>
      </x:c>
    </x:row>
    <x:row r="4">
      <x:c r="A4" s="18"/>
      <x:c r="B4" s="18"/>
      <x:c r="C4" s="18"/>
      <x:c r="D4" s="18"/>
      <x:c r="E4" s="18"/>
      <x:c r="F4" s="18" t="str">
        <x:v>Away</x:v>
      </x:c>
      <x:c r="G4" s="18" t="str">
        <x:v>No prediction</x:v>
      </x:c>
      <x:c r="H4" s="18" t="n">
        <x:v>0</x:v>
      </x:c>
    </x:row>
    <x:row r="5">
      <x:c r="A5" s="18"/>
      <x:c r="B5" s="18"/>
      <x:c r="C5" s="18"/>
      <x:c r="D5" s="18"/>
      <x:c r="E5" s="18"/>
      <x:c r="F5" s="18" t="str"/>
      <x:c r="G5" s="18" t="str">
        <x:v>Exact score bonus</x:v>
      </x:c>
      <x:c r="H5" s="18" t="n">
        <x:v>10</x:v>
      </x:c>
    </x:row>
    <x:row r="6">
      <x:c r="A6" s="18"/>
      <x:c r="B6" s="18"/>
      <x:c r="C6" s="18"/>
      <x:c r="D6" s="18"/>
      <x:c r="E6" s="18"/>
      <x:c r="F6" s="18" t="str"/>
      <x:c r="G6" s="18" t="str">
        <x:v>No score prediction</x:v>
      </x:c>
      <x:c r="H6" s="18" t="n">
        <x:v>0</x:v>
      </x:c>
    </x:row>
    <x:row r="7">
      <x:c r="A7" s="18"/>
      <x:c r="B7" s="18"/>
      <x:c r="C7" s="18"/>
      <x:c r="D7" s="18"/>
      <x:c r="E7" s="18"/>
      <x:c r="F7" s="18" t="str"/>
      <x:c r="G7" s="18" t="str">
        <x:v>Champion reign</x:v>
      </x:c>
      <x:c r="H7" s="18" t="str">
        <x:v>2026-2030</x:v>
      </x:c>
    </x:row>
    <x:row r="8">
      <x:c r="A8" s="18"/>
      <x:c r="B8" s="18"/>
      <x:c r="C8" s="18"/>
      <x:c r="D8" s="18"/>
      <x:c r="E8" s="18"/>
      <x:c r="F8" s="18"/>
      <x:c r="G8" s="18"/>
      <x:c r="H8" s="18"/>
    </x:row>
    <x:row r="9">
      <x:c r="A9" s="18"/>
      <x:c r="B9" s="18"/>
      <x:c r="C9" s="18"/>
      <x:c r="D9" s="18"/>
      <x:c r="E9" s="18"/>
      <x:c r="F9" s="18"/>
      <x:c r="G9" s="18"/>
      <x:c r="H9" s="18"/>
    </x:row>
    <x:row r="10">
      <x:c r="A10" s="18"/>
      <x:c r="B10" s="18"/>
      <x:c r="C10" s="18"/>
      <x:c r="D10" s="18"/>
      <x:c r="E10" s="18"/>
      <x:c r="F10" s="18"/>
      <x:c r="G10" s="18"/>
      <x:c r="H10" s="18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  <x:row r="21">
      <x:c r="A21" s="18"/>
      <x:c r="B21" s="18"/>
      <x:c r="C21" s="18"/>
      <x:c r="D21" s="18"/>
      <x:c r="E21" s="18"/>
      <x:c r="F21" s="18"/>
      <x:c r="G21" s="18"/>
      <x:c r="H21" s="18"/>
    </x:row>
    <x:row r="22">
      <x:c r="A22" s="18"/>
      <x:c r="B22" s="18"/>
      <x:c r="C22" s="18"/>
      <x:c r="D22" s="18"/>
      <x:c r="E22" s="18"/>
      <x:c r="F22" s="18"/>
      <x:c r="G22" s="18"/>
      <x:c r="H22" s="18"/>
    </x:row>
    <x:row r="23">
      <x:c r="A23" s="18"/>
      <x:c r="B23" s="18"/>
      <x:c r="C23" s="18"/>
      <x:c r="D23" s="18"/>
      <x:c r="E23" s="18"/>
      <x:c r="F23" s="18"/>
      <x:c r="G23" s="18"/>
      <x:c r="H23" s="18"/>
    </x:row>
    <x:row r="24">
      <x:c r="A24" s="18"/>
      <x:c r="B24" s="18"/>
      <x:c r="C24" s="18"/>
      <x:c r="D24" s="18"/>
      <x:c r="E24" s="18"/>
      <x:c r="F24" s="18"/>
      <x:c r="G24" s="18"/>
      <x:c r="H24" s="18"/>
    </x:row>
    <x:row r="25">
      <x:c r="A25" s="18"/>
      <x:c r="B25" s="18"/>
      <x:c r="C25" s="18"/>
      <x:c r="D25" s="18"/>
      <x:c r="E25" s="18"/>
      <x:c r="F25" s="18"/>
      <x:c r="G25" s="18"/>
      <x:c r="H25" s="18"/>
    </x:row>
    <x:row r="26">
      <x:c r="A26" s="18"/>
      <x:c r="B26" s="18"/>
      <x:c r="C26" s="18"/>
      <x:c r="D26" s="18"/>
      <x:c r="E26" s="18"/>
      <x:c r="F26" s="18"/>
      <x:c r="G26" s="18"/>
      <x:c r="H26" s="18"/>
    </x:row>
    <x:row r="27">
      <x:c r="A27" s="18"/>
      <x:c r="B27" s="18"/>
      <x:c r="C27" s="18"/>
      <x:c r="D27" s="18"/>
      <x:c r="E27" s="18"/>
      <x:c r="F27" s="18"/>
      <x:c r="G27" s="18"/>
      <x:c r="H27" s="18"/>
    </x:row>
    <x:row r="28">
      <x:c r="A28" s="18"/>
      <x:c r="B28" s="18"/>
      <x:c r="C28" s="18"/>
      <x:c r="D28" s="18"/>
      <x:c r="E28" s="18"/>
      <x:c r="F28" s="18"/>
      <x:c r="G28" s="18"/>
      <x:c r="H28" s="18"/>
    </x:row>
    <x:row r="29">
      <x:c r="A29" s="18"/>
      <x:c r="B29" s="18"/>
      <x:c r="C29" s="18"/>
      <x:c r="D29" s="18"/>
      <x:c r="E29" s="18"/>
      <x:c r="F29" s="18"/>
      <x:c r="G29" s="18"/>
      <x:c r="H29" s="18"/>
    </x:row>
    <x:row r="30">
      <x:c r="A30" s="18"/>
      <x:c r="B30" s="18"/>
      <x:c r="C30" s="18"/>
      <x:c r="D30" s="18"/>
      <x:c r="E30" s="18"/>
      <x:c r="F30" s="18"/>
      <x:c r="G30" s="18"/>
      <x:c r="H30" s="18"/>
    </x:row>
    <x:row r="31">
      <x:c r="A31" s="18"/>
      <x:c r="B31" s="18"/>
      <x:c r="C31" s="18"/>
      <x:c r="D31" s="18"/>
      <x:c r="E31" s="18"/>
      <x:c r="F31" s="18"/>
      <x:c r="G31" s="18"/>
      <x:c r="H31" s="18"/>
    </x:row>
    <x:row r="32">
      <x:c r="A32" s="18"/>
      <x:c r="B32" s="18"/>
      <x:c r="C32" s="18"/>
      <x:c r="D32" s="18"/>
      <x:c r="E32" s="18"/>
      <x:c r="F32" s="18"/>
      <x:c r="G32" s="18"/>
      <x:c r="H32" s="18"/>
    </x:row>
    <x:row r="33">
      <x:c r="A33" s="18"/>
      <x:c r="B33" s="18"/>
      <x:c r="C33" s="18"/>
      <x:c r="D33" s="18"/>
      <x:c r="E33" s="18"/>
      <x:c r="F33" s="18"/>
      <x:c r="G33" s="18"/>
      <x:c r="H33" s="18"/>
    </x:row>
    <x:row r="34">
      <x:c r="A34" s="18"/>
      <x:c r="B34" s="18"/>
      <x:c r="C34" s="18"/>
      <x:c r="D34" s="18"/>
      <x:c r="E34" s="18"/>
      <x:c r="F34" s="18"/>
      <x:c r="G34" s="18"/>
      <x:c r="H34" s="18"/>
    </x:row>
    <x:row r="35">
      <x:c r="A35" s="18"/>
      <x:c r="B35" s="18"/>
      <x:c r="C35" s="18"/>
      <x:c r="D35" s="18"/>
      <x:c r="E35" s="18"/>
      <x:c r="F35" s="18"/>
      <x:c r="G35" s="18"/>
      <x:c r="H35" s="18"/>
    </x:row>
    <x:row r="36">
      <x:c r="A36" s="18"/>
      <x:c r="B36" s="18"/>
      <x:c r="C36" s="18"/>
      <x:c r="D36" s="18"/>
      <x:c r="E36" s="18"/>
      <x:c r="F36" s="18"/>
      <x:c r="G36" s="18"/>
      <x:c r="H36" s="18"/>
    </x:row>
    <x:row r="37">
      <x:c r="A37" s="18"/>
      <x:c r="B37" s="18"/>
      <x:c r="C37" s="18"/>
      <x:c r="D37" s="18"/>
      <x:c r="E37" s="18"/>
      <x:c r="F37" s="18"/>
      <x:c r="G37" s="18"/>
      <x:c r="H37" s="18"/>
    </x:row>
    <x:row r="38">
      <x:c r="A38" s="18"/>
      <x:c r="B38" s="18"/>
      <x:c r="C38" s="18"/>
      <x:c r="D38" s="18"/>
      <x:c r="E38" s="18"/>
      <x:c r="F38" s="18"/>
      <x:c r="G38" s="18"/>
      <x:c r="H38" s="18"/>
    </x:row>
    <x:row r="39">
      <x:c r="A39" s="18"/>
      <x:c r="B39" s="18"/>
      <x:c r="C39" s="18"/>
      <x:c r="D39" s="18"/>
      <x:c r="E39" s="18"/>
      <x:c r="F39" s="18"/>
      <x:c r="G39" s="18"/>
      <x:c r="H39" s="18"/>
    </x:row>
    <x:row r="40">
      <x:c r="A40" s="18"/>
      <x:c r="B40" s="18"/>
      <x:c r="C40" s="18"/>
      <x:c r="D40" s="18"/>
      <x:c r="E40" s="18"/>
      <x:c r="F40" s="18"/>
      <x:c r="G40" s="18"/>
      <x:c r="H40" s="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13.75" hidden="0" customWidth="1"/>
    <x:col min="3" max="3" width="10.630000114440918" hidden="0" customWidth="1"/>
    <x:col min="4" max="4" width="11.25" hidden="0" customWidth="1"/>
    <x:col min="5" max="5" width="11.880000114440918" hidden="0" customWidth="1"/>
    <x:col min="6" max="6" width="10" hidden="0" customWidth="1"/>
    <x:col min="7" max="7" width="21.25" hidden="0" customWidth="1"/>
    <x:col min="8" max="8" width="21.25" hidden="0" customWidth="1"/>
    <x:col min="9" max="9" width="10.630000114440918" hidden="0" customWidth="1"/>
    <x:col min="10" max="10" width="10.630000114440918" hidden="0" customWidth="1"/>
    <x:col min="11" max="11" width="15" hidden="0" customWidth="1"/>
    <x:col min="12" max="12" width="20" hidden="0" customWidth="1"/>
    <x:col min="13" max="13" width="22.5" hidden="0" customWidth="1"/>
    <x:col min="14" max="14" width="18.1299991607666" hidden="0" customWidth="1"/>
    <x:col min="15" max="15" width="28.75" hidden="0" customWidth="1"/>
    <x:col min="16" max="16" width="18.75" hidden="0" customWidth="1"/>
    <x:col min="17" max="17" width="15" hidden="0" customWidth="1"/>
  </x:cols>
  <x:sheetData>
    <x:row r="1">
      <x:c r="A1" s="55" t="str">
        <x:v>Match ID</x:v>
      </x:c>
      <x:c r="B1" s="55" t="str">
        <x:v>Date</x:v>
      </x:c>
      <x:c r="C1" s="55" t="str">
        <x:v>Time ET</x:v>
      </x:c>
      <x:c r="D1" s="55" t="str">
        <x:v>Local Time</x:v>
      </x:c>
      <x:c r="E1" s="55" t="str">
        <x:v>Stage</x:v>
      </x:c>
      <x:c r="F1" s="55" t="str">
        <x:v>Group</x:v>
      </x:c>
      <x:c r="G1" s="55" t="str">
        <x:v>Team 1 / Home</x:v>
      </x:c>
      <x:c r="H1" s="55" t="str">
        <x:v>Team 2 / Away</x:v>
      </x:c>
      <x:c r="I1" s="55" t="str">
        <x:v>Home Goals</x:v>
      </x:c>
      <x:c r="J1" s="55" t="str">
        <x:v>Away Goals</x:v>
      </x:c>
      <x:c r="K1" s="55" t="str">
        <x:v>Actual Result</x:v>
      </x:c>
      <x:c r="L1" s="55" t="str">
        <x:v>Team Advanced</x:v>
      </x:c>
      <x:c r="M1" s="55" t="str">
        <x:v>Venue</x:v>
      </x:c>
      <x:c r="N1" s="55" t="str">
        <x:v>City</x:v>
      </x:c>
      <x:c r="O1" s="55" t="str">
        <x:v>Match Label</x:v>
      </x:c>
      <x:c r="P1" s="55" t="str">
        <x:v>Kickoff Local Timestamp</x:v>
      </x:c>
      <x:c r="Q1" s="55" t="str">
        <x:v>Match Status</x:v>
      </x:c>
    </x:row>
    <x:row r="2">
      <x:c r="A2" s="18" t="n">
        <x:v>1</x:v>
      </x:c>
      <x:c r="B2" s="61" t="str">
        <x:v>2026-06-11</x:v>
      </x:c>
      <x:c r="C2" s="18" t="str">
        <x:v>15:00</x:v>
      </x:c>
      <x:c r="D2" s="18" t="str">
        <x:v>13:00</x:v>
      </x:c>
      <x:c r="E2" s="18" t="str">
        <x:v>Group</x:v>
      </x:c>
      <x:c r="F2" s="18" t="str">
        <x:v>A</x:v>
      </x:c>
      <x:c r="G2" s="18" t="str">
        <x:v>Mexico</x:v>
      </x:c>
      <x:c r="H2" s="18" t="str">
        <x:v>South Africa</x:v>
      </x:c>
      <x:c r="I2" s="63"/>
      <x:c r="J2" s="63"/>
      <x:c r="K2" s="18"/>
      <x:c r="L2" s="65"/>
      <x:c r="M2" s="18" t="str">
        <x:v>Estadio Azteca</x:v>
      </x:c>
      <x:c r="N2" s="18" t="str">
        <x:v>Mexico City</x:v>
      </x:c>
      <x:c r="O2" s="18" t="str">
        <x:f>G2&amp;" vs "&amp;H2</x:f>
        <x:v>Mexico vs South Africa</x:v>
      </x:c>
      <x:c r="P2" s="60" t="n">
        <x:v>46184.75</x:v>
      </x:c>
      <x:c r="Q2" s="18" t="str">
        <x:f>IF(K2="","Awaiting result","Final")</x:f>
        <x:v>Awaiting result</x:v>
      </x:c>
    </x:row>
    <x:row r="3">
      <x:c r="A3" s="18" t="n">
        <x:v>2</x:v>
      </x:c>
      <x:c r="B3" s="61" t="str">
        <x:v>2026-06-11</x:v>
      </x:c>
      <x:c r="C3" s="18" t="str">
        <x:v>22:00</x:v>
      </x:c>
      <x:c r="D3" s="18" t="str">
        <x:v>20:00</x:v>
      </x:c>
      <x:c r="E3" s="18" t="str">
        <x:v>Group</x:v>
      </x:c>
      <x:c r="F3" s="18" t="str">
        <x:v>A</x:v>
      </x:c>
      <x:c r="G3" s="18" t="str">
        <x:v>South Korea</x:v>
      </x:c>
      <x:c r="H3" s="18" t="str">
        <x:v>Czechia</x:v>
      </x:c>
      <x:c r="I3" s="63"/>
      <x:c r="J3" s="63"/>
      <x:c r="K3" s="18"/>
      <x:c r="L3" s="65"/>
      <x:c r="M3" s="18" t="str">
        <x:v>Estadio Akron</x:v>
      </x:c>
      <x:c r="N3" s="18" t="str">
        <x:v>Guadalajara</x:v>
      </x:c>
      <x:c r="O3" s="18" t="str">
        <x:f>G3&amp;" vs "&amp;H3</x:f>
        <x:v>South Korea vs Czechia</x:v>
      </x:c>
      <x:c r="P3" s="60" t="n">
        <x:v>46185.041666666664</x:v>
      </x:c>
      <x:c r="Q3" s="18" t="str">
        <x:f>IF(K3="","Awaiting result","Final")</x:f>
        <x:v>Awaiting result</x:v>
      </x:c>
    </x:row>
    <x:row r="4">
      <x:c r="A4" s="18" t="n">
        <x:v>3</x:v>
      </x:c>
      <x:c r="B4" s="61" t="str">
        <x:v>2026-06-12</x:v>
      </x:c>
      <x:c r="C4" s="18" t="str">
        <x:v>15:00</x:v>
      </x:c>
      <x:c r="D4" s="18" t="str">
        <x:v>15:00</x:v>
      </x:c>
      <x:c r="E4" s="18" t="str">
        <x:v>Group</x:v>
      </x:c>
      <x:c r="F4" s="18" t="str">
        <x:v>B</x:v>
      </x:c>
      <x:c r="G4" s="18" t="str">
        <x:v>Canada</x:v>
      </x:c>
      <x:c r="H4" s="18" t="str">
        <x:v>Bosnia and Herzegovina</x:v>
      </x:c>
      <x:c r="I4" s="63"/>
      <x:c r="J4" s="63"/>
      <x:c r="K4" s="18"/>
      <x:c r="L4" s="65"/>
      <x:c r="M4" s="18" t="str">
        <x:v>BMO Field</x:v>
      </x:c>
      <x:c r="N4" s="18" t="str">
        <x:v>Toronto</x:v>
      </x:c>
      <x:c r="O4" s="18" t="str">
        <x:f>G4&amp;" vs "&amp;H4</x:f>
        <x:v>Canada vs Bosnia and Herzegovina</x:v>
      </x:c>
      <x:c r="P4" s="60" t="n">
        <x:v>46185.833333333336</x:v>
      </x:c>
      <x:c r="Q4" s="18" t="str">
        <x:f>IF(K4="","Awaiting result","Final")</x:f>
        <x:v>Awaiting result</x:v>
      </x:c>
    </x:row>
    <x:row r="5">
      <x:c r="A5" s="18" t="n">
        <x:v>4</x:v>
      </x:c>
      <x:c r="B5" s="61" t="str">
        <x:v>2026-06-12</x:v>
      </x:c>
      <x:c r="C5" s="18" t="str">
        <x:v>21:00</x:v>
      </x:c>
      <x:c r="D5" s="18" t="str">
        <x:v>18:00</x:v>
      </x:c>
      <x:c r="E5" s="18" t="str">
        <x:v>Group</x:v>
      </x:c>
      <x:c r="F5" s="18" t="str">
        <x:v>D</x:v>
      </x:c>
      <x:c r="G5" s="18" t="str">
        <x:v>USA</x:v>
      </x:c>
      <x:c r="H5" s="18" t="str">
        <x:v>Paraguay</x:v>
      </x:c>
      <x:c r="I5" s="63"/>
      <x:c r="J5" s="63"/>
      <x:c r="K5" s="18"/>
      <x:c r="L5" s="65"/>
      <x:c r="M5" s="18" t="str">
        <x:v>SoFi Stadium</x:v>
      </x:c>
      <x:c r="N5" s="18" t="str">
        <x:v>Los Angeles</x:v>
      </x:c>
      <x:c r="O5" s="18" t="str">
        <x:f>G5&amp;" vs "&amp;H5</x:f>
        <x:v>USA vs Paraguay</x:v>
      </x:c>
      <x:c r="P5" s="60" t="n">
        <x:v>46185.958333333336</x:v>
      </x:c>
      <x:c r="Q5" s="18" t="str">
        <x:f>IF(K5="","Awaiting result","Final")</x:f>
        <x:v>Awaiting result</x:v>
      </x:c>
    </x:row>
    <x:row r="6">
      <x:c r="A6" s="18" t="n">
        <x:v>5</x:v>
      </x:c>
      <x:c r="B6" s="61" t="str">
        <x:v>2026-06-13</x:v>
      </x:c>
      <x:c r="C6" s="18" t="str">
        <x:v>21:00</x:v>
      </x:c>
      <x:c r="D6" s="18" t="str">
        <x:v>21:00</x:v>
      </x:c>
      <x:c r="E6" s="18" t="str">
        <x:v>Group</x:v>
      </x:c>
      <x:c r="F6" s="18" t="str">
        <x:v>C</x:v>
      </x:c>
      <x:c r="G6" s="18" t="str">
        <x:v>Haiti</x:v>
      </x:c>
      <x:c r="H6" s="18" t="str">
        <x:v>Scotland</x:v>
      </x:c>
      <x:c r="I6" s="63"/>
      <x:c r="J6" s="63"/>
      <x:c r="K6" s="18"/>
      <x:c r="L6" s="65"/>
      <x:c r="M6" s="18" t="str">
        <x:v>Gillette Stadium</x:v>
      </x:c>
      <x:c r="N6" s="18" t="str">
        <x:v>Boston</x:v>
      </x:c>
      <x:c r="O6" s="18" t="str">
        <x:f>G6&amp;" vs "&amp;H6</x:f>
        <x:v>Haiti vs Scotland</x:v>
      </x:c>
      <x:c r="P6" s="60" t="n">
        <x:v>46187.083333333336</x:v>
      </x:c>
      <x:c r="Q6" s="18" t="str">
        <x:f>IF(K6="","Awaiting result","Final")</x:f>
        <x:v>Awaiting result</x:v>
      </x:c>
    </x:row>
    <x:row r="7">
      <x:c r="A7" s="18" t="n">
        <x:v>6</x:v>
      </x:c>
      <x:c r="B7" s="61" t="str">
        <x:v>2026-06-13</x:v>
      </x:c>
      <x:c r="C7" s="18" t="str">
        <x:v>00:00</x:v>
      </x:c>
      <x:c r="D7" s="18" t="str">
        <x:v>21:00</x:v>
      </x:c>
      <x:c r="E7" s="18" t="str">
        <x:v>Group</x:v>
      </x:c>
      <x:c r="F7" s="18" t="str">
        <x:v>D</x:v>
      </x:c>
      <x:c r="G7" s="18" t="str">
        <x:v>Australia</x:v>
      </x:c>
      <x:c r="H7" s="18" t="str">
        <x:v>Türkiye</x:v>
      </x:c>
      <x:c r="I7" s="63"/>
      <x:c r="J7" s="63"/>
      <x:c r="K7" s="18"/>
      <x:c r="L7" s="65"/>
      <x:c r="M7" s="18" t="str">
        <x:v>BC Place</x:v>
      </x:c>
      <x:c r="N7" s="18" t="str">
        <x:v>Vancouver</x:v>
      </x:c>
      <x:c r="O7" s="18" t="str">
        <x:f>G7&amp;" vs "&amp;H7</x:f>
        <x:v>Australia vs Türkiye</x:v>
      </x:c>
      <x:c r="P7" s="60" t="n">
        <x:v>46187.083333333336</x:v>
      </x:c>
      <x:c r="Q7" s="18" t="str">
        <x:f>IF(K7="","Awaiting result","Final")</x:f>
        <x:v>Awaiting result</x:v>
      </x:c>
    </x:row>
    <x:row r="8">
      <x:c r="A8" s="18" t="n">
        <x:v>7</x:v>
      </x:c>
      <x:c r="B8" s="61" t="str">
        <x:v>2026-06-13</x:v>
      </x:c>
      <x:c r="C8" s="18" t="str">
        <x:v>18:00</x:v>
      </x:c>
      <x:c r="D8" s="18" t="str">
        <x:v>18:00</x:v>
      </x:c>
      <x:c r="E8" s="18" t="str">
        <x:v>Group</x:v>
      </x:c>
      <x:c r="F8" s="18" t="str">
        <x:v>C</x:v>
      </x:c>
      <x:c r="G8" s="18" t="str">
        <x:v>Brazil</x:v>
      </x:c>
      <x:c r="H8" s="18" t="str">
        <x:v>Morocco</x:v>
      </x:c>
      <x:c r="I8" s="63"/>
      <x:c r="J8" s="63"/>
      <x:c r="K8" s="18"/>
      <x:c r="L8" s="65"/>
      <x:c r="M8" s="18" t="str">
        <x:v>MetLife Stadium</x:v>
      </x:c>
      <x:c r="N8" s="18" t="str">
        <x:v>New York/New Jersey</x:v>
      </x:c>
      <x:c r="O8" s="18" t="str">
        <x:f>G8&amp;" vs "&amp;H8</x:f>
        <x:v>Brazil vs Morocco</x:v>
      </x:c>
      <x:c r="P8" s="60" t="n">
        <x:v>46186.958333333336</x:v>
      </x:c>
      <x:c r="Q8" s="18" t="str">
        <x:f>IF(K8="","Awaiting result","Final")</x:f>
        <x:v>Awaiting result</x:v>
      </x:c>
    </x:row>
    <x:row r="9">
      <x:c r="A9" s="18" t="n">
        <x:v>8</x:v>
      </x:c>
      <x:c r="B9" s="61" t="str">
        <x:v>2026-06-13</x:v>
      </x:c>
      <x:c r="C9" s="18" t="str">
        <x:v>15:00</x:v>
      </x:c>
      <x:c r="D9" s="18" t="str">
        <x:v>12:00</x:v>
      </x:c>
      <x:c r="E9" s="18" t="str">
        <x:v>Group</x:v>
      </x:c>
      <x:c r="F9" s="18" t="str">
        <x:v>B</x:v>
      </x:c>
      <x:c r="G9" s="18" t="str">
        <x:v>Qatar</x:v>
      </x:c>
      <x:c r="H9" s="18" t="str">
        <x:v>Switzerland</x:v>
      </x:c>
      <x:c r="I9" s="63"/>
      <x:c r="J9" s="63"/>
      <x:c r="K9" s="18"/>
      <x:c r="L9" s="65"/>
      <x:c r="M9" s="18" t="str">
        <x:v>Levi's Stadium</x:v>
      </x:c>
      <x:c r="N9" s="18" t="str">
        <x:v>San Francisco Bay Area</x:v>
      </x:c>
      <x:c r="O9" s="18" t="str">
        <x:f>G9&amp;" vs "&amp;H9</x:f>
        <x:v>Qatar vs Switzerland</x:v>
      </x:c>
      <x:c r="P9" s="60" t="n">
        <x:v>46186.708333333336</x:v>
      </x:c>
      <x:c r="Q9" s="18" t="str">
        <x:f>IF(K9="","Awaiting result","Final")</x:f>
        <x:v>Awaiting result</x:v>
      </x:c>
    </x:row>
    <x:row r="10">
      <x:c r="A10" s="18" t="n">
        <x:v>9</x:v>
      </x:c>
      <x:c r="B10" s="61" t="str">
        <x:v>2026-06-14</x:v>
      </x:c>
      <x:c r="C10" s="18" t="str">
        <x:v>19:00</x:v>
      </x:c>
      <x:c r="D10" s="18" t="str">
        <x:v>19:00</x:v>
      </x:c>
      <x:c r="E10" s="18" t="str">
        <x:v>Group</x:v>
      </x:c>
      <x:c r="F10" s="18" t="str">
        <x:v>E</x:v>
      </x:c>
      <x:c r="G10" s="18" t="str">
        <x:v>Ivory Coast</x:v>
      </x:c>
      <x:c r="H10" s="18" t="str">
        <x:v>Ecuador</x:v>
      </x:c>
      <x:c r="I10" s="63"/>
      <x:c r="J10" s="63"/>
      <x:c r="K10" s="18"/>
      <x:c r="L10" s="65"/>
      <x:c r="M10" s="18" t="str">
        <x:v>Lincoln Financial Field</x:v>
      </x:c>
      <x:c r="N10" s="18" t="str">
        <x:v>Philadelphia</x:v>
      </x:c>
      <x:c r="O10" s="18" t="str">
        <x:f>G10&amp;" vs "&amp;H10</x:f>
        <x:v>Ivory Coast vs Ecuador</x:v>
      </x:c>
      <x:c r="P10" s="60" t="n">
        <x:v>46188</x:v>
      </x:c>
      <x:c r="Q10" s="18" t="str">
        <x:f>IF(K10="","Awaiting result","Final")</x:f>
        <x:v>Awaiting result</x:v>
      </x:c>
    </x:row>
    <x:row r="11">
      <x:c r="A11" s="18" t="n">
        <x:v>10</x:v>
      </x:c>
      <x:c r="B11" s="61" t="str">
        <x:v>2026-06-14</x:v>
      </x:c>
      <x:c r="C11" s="18" t="str">
        <x:v>13:00</x:v>
      </x:c>
      <x:c r="D11" s="18" t="str">
        <x:v>12:00</x:v>
      </x:c>
      <x:c r="E11" s="18" t="str">
        <x:v>Group</x:v>
      </x:c>
      <x:c r="F11" s="18" t="str">
        <x:v>E</x:v>
      </x:c>
      <x:c r="G11" s="18" t="str">
        <x:v>Germany</x:v>
      </x:c>
      <x:c r="H11" s="18" t="str">
        <x:v>Curaçao</x:v>
      </x:c>
      <x:c r="I11" s="63"/>
      <x:c r="J11" s="63"/>
      <x:c r="K11" s="18"/>
      <x:c r="L11" s="65"/>
      <x:c r="M11" s="18" t="str">
        <x:v>NRG Stadium</x:v>
      </x:c>
      <x:c r="N11" s="18" t="str">
        <x:v>Houston</x:v>
      </x:c>
      <x:c r="O11" s="18" t="str">
        <x:f>G11&amp;" vs "&amp;H11</x:f>
        <x:v>Germany vs Curaçao</x:v>
      </x:c>
      <x:c r="P11" s="60" t="n">
        <x:v>46187.708333333336</x:v>
      </x:c>
      <x:c r="Q11" s="18" t="str">
        <x:f>IF(K11="","Awaiting result","Final")</x:f>
        <x:v>Awaiting result</x:v>
      </x:c>
    </x:row>
    <x:row r="12">
      <x:c r="A12" s="18" t="n">
        <x:v>11</x:v>
      </x:c>
      <x:c r="B12" s="61" t="str">
        <x:v>2026-06-14</x:v>
      </x:c>
      <x:c r="C12" s="18" t="str">
        <x:v>16:00</x:v>
      </x:c>
      <x:c r="D12" s="18" t="str">
        <x:v>15:00</x:v>
      </x:c>
      <x:c r="E12" s="18" t="str">
        <x:v>Group</x:v>
      </x:c>
      <x:c r="F12" s="18" t="str">
        <x:v>F</x:v>
      </x:c>
      <x:c r="G12" s="18" t="str">
        <x:v>Netherlands</x:v>
      </x:c>
      <x:c r="H12" s="18" t="str">
        <x:v>Japan</x:v>
      </x:c>
      <x:c r="I12" s="63"/>
      <x:c r="J12" s="63"/>
      <x:c r="K12" s="18"/>
      <x:c r="L12" s="65"/>
      <x:c r="M12" s="18" t="str">
        <x:v>AT&amp;T Stadium</x:v>
      </x:c>
      <x:c r="N12" s="18" t="str">
        <x:v>Dallas</x:v>
      </x:c>
      <x:c r="O12" s="18" t="str">
        <x:f>G12&amp;" vs "&amp;H12</x:f>
        <x:v>Netherlands vs Japan</x:v>
      </x:c>
      <x:c r="P12" s="60" t="n">
        <x:v>46187.833333333336</x:v>
      </x:c>
      <x:c r="Q12" s="18" t="str">
        <x:f>IF(K12="","Awaiting result","Final")</x:f>
        <x:v>Awaiting result</x:v>
      </x:c>
    </x:row>
    <x:row r="13">
      <x:c r="A13" s="18" t="n">
        <x:v>12</x:v>
      </x:c>
      <x:c r="B13" s="61" t="str">
        <x:v>2026-06-14</x:v>
      </x:c>
      <x:c r="C13" s="18" t="str">
        <x:v>22:00</x:v>
      </x:c>
      <x:c r="D13" s="18" t="str">
        <x:v>20:00</x:v>
      </x:c>
      <x:c r="E13" s="18" t="str">
        <x:v>Group</x:v>
      </x:c>
      <x:c r="F13" s="18" t="str">
        <x:v>F</x:v>
      </x:c>
      <x:c r="G13" s="18" t="str">
        <x:v>Sweden</x:v>
      </x:c>
      <x:c r="H13" s="18" t="str">
        <x:v>Tunisia</x:v>
      </x:c>
      <x:c r="I13" s="63"/>
      <x:c r="J13" s="63"/>
      <x:c r="K13" s="18"/>
      <x:c r="L13" s="65"/>
      <x:c r="M13" s="18" t="str">
        <x:v>Estadio BBVA</x:v>
      </x:c>
      <x:c r="N13" s="18" t="str">
        <x:v>Monterrey</x:v>
      </x:c>
      <x:c r="O13" s="18" t="str">
        <x:f>G13&amp;" vs "&amp;H13</x:f>
        <x:v>Sweden vs Tunisia</x:v>
      </x:c>
      <x:c r="P13" s="60" t="n">
        <x:v>46188.041666666664</x:v>
      </x:c>
      <x:c r="Q13" s="18" t="str">
        <x:f>IF(K13="","Awaiting result","Final")</x:f>
        <x:v>Awaiting result</x:v>
      </x:c>
    </x:row>
    <x:row r="14">
      <x:c r="A14" s="18" t="n">
        <x:v>13</x:v>
      </x:c>
      <x:c r="B14" s="61" t="str">
        <x:v>2026-06-15</x:v>
      </x:c>
      <x:c r="C14" s="18" t="str">
        <x:v>18:00</x:v>
      </x:c>
      <x:c r="D14" s="18" t="str">
        <x:v>18:00</x:v>
      </x:c>
      <x:c r="E14" s="18" t="str">
        <x:v>Group</x:v>
      </x:c>
      <x:c r="F14" s="18" t="str">
        <x:v>H</x:v>
      </x:c>
      <x:c r="G14" s="18" t="str">
        <x:v>Saudi Arabia</x:v>
      </x:c>
      <x:c r="H14" s="18" t="str">
        <x:v>Uruguay</x:v>
      </x:c>
      <x:c r="I14" s="63"/>
      <x:c r="J14" s="63"/>
      <x:c r="K14" s="18"/>
      <x:c r="L14" s="65"/>
      <x:c r="M14" s="18" t="str">
        <x:v>Hard Rock Stadium</x:v>
      </x:c>
      <x:c r="N14" s="18" t="str">
        <x:v>Miami</x:v>
      </x:c>
      <x:c r="O14" s="18" t="str">
        <x:f>G14&amp;" vs "&amp;H14</x:f>
        <x:v>Saudi Arabia vs Uruguay</x:v>
      </x:c>
      <x:c r="P14" s="60" t="n">
        <x:v>46188.958333333336</x:v>
      </x:c>
      <x:c r="Q14" s="18" t="str">
        <x:f>IF(K14="","Awaiting result","Final")</x:f>
        <x:v>Awaiting result</x:v>
      </x:c>
    </x:row>
    <x:row r="15">
      <x:c r="A15" s="18" t="n">
        <x:v>14</x:v>
      </x:c>
      <x:c r="B15" s="61" t="str">
        <x:v>2026-06-15</x:v>
      </x:c>
      <x:c r="C15" s="18" t="str">
        <x:v>12:00</x:v>
      </x:c>
      <x:c r="D15" s="18" t="str">
        <x:v>12:00</x:v>
      </x:c>
      <x:c r="E15" s="18" t="str">
        <x:v>Group</x:v>
      </x:c>
      <x:c r="F15" s="18" t="str">
        <x:v>H</x:v>
      </x:c>
      <x:c r="G15" s="18" t="str">
        <x:v>Spain</x:v>
      </x:c>
      <x:c r="H15" s="18" t="str">
        <x:v>Cape Verde</x:v>
      </x:c>
      <x:c r="I15" s="63"/>
      <x:c r="J15" s="63"/>
      <x:c r="K15" s="18"/>
      <x:c r="L15" s="65"/>
      <x:c r="M15" s="18" t="str">
        <x:v>Mercedes-Benz Stadium</x:v>
      </x:c>
      <x:c r="N15" s="18" t="str">
        <x:v>Atlanta</x:v>
      </x:c>
      <x:c r="O15" s="18" t="str">
        <x:f>G15&amp;" vs "&amp;H15</x:f>
        <x:v>Spain vs Cape Verde</x:v>
      </x:c>
      <x:c r="P15" s="60" t="n">
        <x:v>46188.708333333336</x:v>
      </x:c>
      <x:c r="Q15" s="18" t="str">
        <x:f>IF(K15="","Awaiting result","Final")</x:f>
        <x:v>Awaiting result</x:v>
      </x:c>
    </x:row>
    <x:row r="16">
      <x:c r="A16" s="18" t="n">
        <x:v>15</x:v>
      </x:c>
      <x:c r="B16" s="61" t="str">
        <x:v>2026-06-15</x:v>
      </x:c>
      <x:c r="C16" s="18" t="str">
        <x:v>21:00</x:v>
      </x:c>
      <x:c r="D16" s="18" t="str">
        <x:v>18:00</x:v>
      </x:c>
      <x:c r="E16" s="18" t="str">
        <x:v>Group</x:v>
      </x:c>
      <x:c r="F16" s="18" t="str">
        <x:v>G</x:v>
      </x:c>
      <x:c r="G16" s="18" t="str">
        <x:v>Iran</x:v>
      </x:c>
      <x:c r="H16" s="18" t="str">
        <x:v>New Zealand</x:v>
      </x:c>
      <x:c r="I16" s="63"/>
      <x:c r="J16" s="63"/>
      <x:c r="K16" s="18"/>
      <x:c r="L16" s="65"/>
      <x:c r="M16" s="18" t="str">
        <x:v>SoFi Stadium</x:v>
      </x:c>
      <x:c r="N16" s="18" t="str">
        <x:v>Los Angeles</x:v>
      </x:c>
      <x:c r="O16" s="18" t="str">
        <x:f>G16&amp;" vs "&amp;H16</x:f>
        <x:v>Iran vs New Zealand</x:v>
      </x:c>
      <x:c r="P16" s="60" t="n">
        <x:v>46188.958333333336</x:v>
      </x:c>
      <x:c r="Q16" s="18" t="str">
        <x:f>IF(K16="","Awaiting result","Final")</x:f>
        <x:v>Awaiting result</x:v>
      </x:c>
    </x:row>
    <x:row r="17">
      <x:c r="A17" s="18" t="n">
        <x:v>16</x:v>
      </x:c>
      <x:c r="B17" s="61" t="str">
        <x:v>2026-06-15</x:v>
      </x:c>
      <x:c r="C17" s="18" t="str">
        <x:v>15:00</x:v>
      </x:c>
      <x:c r="D17" s="18" t="str">
        <x:v>12:00</x:v>
      </x:c>
      <x:c r="E17" s="18" t="str">
        <x:v>Group</x:v>
      </x:c>
      <x:c r="F17" s="18" t="str">
        <x:v>G</x:v>
      </x:c>
      <x:c r="G17" s="18" t="str">
        <x:v>Belgium</x:v>
      </x:c>
      <x:c r="H17" s="18" t="str">
        <x:v>Egypt</x:v>
      </x:c>
      <x:c r="I17" s="63"/>
      <x:c r="J17" s="63"/>
      <x:c r="K17" s="18"/>
      <x:c r="L17" s="65"/>
      <x:c r="M17" s="18" t="str">
        <x:v>Lumen Field</x:v>
      </x:c>
      <x:c r="N17" s="18" t="str">
        <x:v>Seattle</x:v>
      </x:c>
      <x:c r="O17" s="18" t="str">
        <x:f>G17&amp;" vs "&amp;H17</x:f>
        <x:v>Belgium vs Egypt</x:v>
      </x:c>
      <x:c r="P17" s="60" t="n">
        <x:v>46188.708333333336</x:v>
      </x:c>
      <x:c r="Q17" s="18" t="str">
        <x:f>IF(K17="","Awaiting result","Final")</x:f>
        <x:v>Awaiting result</x:v>
      </x:c>
    </x:row>
    <x:row r="18">
      <x:c r="A18" s="18" t="n">
        <x:v>17</x:v>
      </x:c>
      <x:c r="B18" s="61" t="str">
        <x:v>2026-06-16</x:v>
      </x:c>
      <x:c r="C18" s="18" t="str">
        <x:v>15:00</x:v>
      </x:c>
      <x:c r="D18" s="18" t="str">
        <x:v>15:00</x:v>
      </x:c>
      <x:c r="E18" s="18" t="str">
        <x:v>Group</x:v>
      </x:c>
      <x:c r="F18" s="18" t="str">
        <x:v>I</x:v>
      </x:c>
      <x:c r="G18" s="18" t="str">
        <x:v>France</x:v>
      </x:c>
      <x:c r="H18" s="18" t="str">
        <x:v>Senegal</x:v>
      </x:c>
      <x:c r="I18" s="63"/>
      <x:c r="J18" s="63"/>
      <x:c r="K18" s="18"/>
      <x:c r="L18" s="65"/>
      <x:c r="M18" s="18" t="str">
        <x:v>MetLife Stadium</x:v>
      </x:c>
      <x:c r="N18" s="18" t="str">
        <x:v>New York/New Jersey</x:v>
      </x:c>
      <x:c r="O18" s="18" t="str">
        <x:f>G18&amp;" vs "&amp;H18</x:f>
        <x:v>France vs Senegal</x:v>
      </x:c>
      <x:c r="P18" s="60" t="n">
        <x:v>46189.833333333336</x:v>
      </x:c>
      <x:c r="Q18" s="18" t="str">
        <x:f>IF(K18="","Awaiting result","Final")</x:f>
        <x:v>Awaiting result</x:v>
      </x:c>
    </x:row>
    <x:row r="19">
      <x:c r="A19" s="18" t="n">
        <x:v>18</x:v>
      </x:c>
      <x:c r="B19" s="61" t="str">
        <x:v>2026-06-16</x:v>
      </x:c>
      <x:c r="C19" s="18" t="str">
        <x:v>18:00</x:v>
      </x:c>
      <x:c r="D19" s="18" t="str">
        <x:v>18:00</x:v>
      </x:c>
      <x:c r="E19" s="18" t="str">
        <x:v>Group</x:v>
      </x:c>
      <x:c r="F19" s="18" t="str">
        <x:v>I</x:v>
      </x:c>
      <x:c r="G19" s="18" t="str">
        <x:v>Iraq</x:v>
      </x:c>
      <x:c r="H19" s="18" t="str">
        <x:v>Norway</x:v>
      </x:c>
      <x:c r="I19" s="63"/>
      <x:c r="J19" s="63"/>
      <x:c r="K19" s="18"/>
      <x:c r="L19" s="65"/>
      <x:c r="M19" s="18" t="str">
        <x:v>Gillette Stadium</x:v>
      </x:c>
      <x:c r="N19" s="18" t="str">
        <x:v>Boston</x:v>
      </x:c>
      <x:c r="O19" s="18" t="str">
        <x:f>G19&amp;" vs "&amp;H19</x:f>
        <x:v>Iraq vs Norway</x:v>
      </x:c>
      <x:c r="P19" s="60" t="n">
        <x:v>46189.958333333336</x:v>
      </x:c>
      <x:c r="Q19" s="18" t="str">
        <x:f>IF(K19="","Awaiting result","Final")</x:f>
        <x:v>Awaiting result</x:v>
      </x:c>
    </x:row>
    <x:row r="20">
      <x:c r="A20" s="18" t="n">
        <x:v>19</x:v>
      </x:c>
      <x:c r="B20" s="61" t="str">
        <x:v>2026-06-16</x:v>
      </x:c>
      <x:c r="C20" s="18" t="str">
        <x:v>21:00</x:v>
      </x:c>
      <x:c r="D20" s="18" t="str">
        <x:v>20:00</x:v>
      </x:c>
      <x:c r="E20" s="18" t="str">
        <x:v>Group</x:v>
      </x:c>
      <x:c r="F20" s="18" t="str">
        <x:v>J</x:v>
      </x:c>
      <x:c r="G20" s="18" t="str">
        <x:v>Argentina</x:v>
      </x:c>
      <x:c r="H20" s="18" t="str">
        <x:v>Algeria</x:v>
      </x:c>
      <x:c r="I20" s="63"/>
      <x:c r="J20" s="63"/>
      <x:c r="K20" s="18"/>
      <x:c r="L20" s="65"/>
      <x:c r="M20" s="18" t="str">
        <x:v>Arrowhead Stadium</x:v>
      </x:c>
      <x:c r="N20" s="18" t="str">
        <x:v>Kansas City</x:v>
      </x:c>
      <x:c r="O20" s="18" t="str">
        <x:f>G20&amp;" vs "&amp;H20</x:f>
        <x:v>Argentina vs Algeria</x:v>
      </x:c>
      <x:c r="P20" s="60" t="n">
        <x:v>46190.041666666664</x:v>
      </x:c>
      <x:c r="Q20" s="18" t="str">
        <x:f>IF(K20="","Awaiting result","Final")</x:f>
        <x:v>Awaiting result</x:v>
      </x:c>
    </x:row>
    <x:row r="21">
      <x:c r="A21" s="18" t="n">
        <x:v>20</x:v>
      </x:c>
      <x:c r="B21" s="61" t="str">
        <x:v>2026-06-16</x:v>
      </x:c>
      <x:c r="C21" s="18" t="str">
        <x:v>00:00</x:v>
      </x:c>
      <x:c r="D21" s="18" t="str">
        <x:v>21:00</x:v>
      </x:c>
      <x:c r="E21" s="18" t="str">
        <x:v>Group</x:v>
      </x:c>
      <x:c r="F21" s="18" t="str">
        <x:v>J</x:v>
      </x:c>
      <x:c r="G21" s="18" t="str">
        <x:v>Austria</x:v>
      </x:c>
      <x:c r="H21" s="18" t="str">
        <x:v>Jordan</x:v>
      </x:c>
      <x:c r="I21" s="63"/>
      <x:c r="J21" s="63"/>
      <x:c r="K21" s="18"/>
      <x:c r="L21" s="65"/>
      <x:c r="M21" s="18" t="str">
        <x:v>Levi's Stadium</x:v>
      </x:c>
      <x:c r="N21" s="18" t="str">
        <x:v>San Francisco Bay Area</x:v>
      </x:c>
      <x:c r="O21" s="18" t="str">
        <x:f>G21&amp;" vs "&amp;H21</x:f>
        <x:v>Austria vs Jordan</x:v>
      </x:c>
      <x:c r="P21" s="60" t="n">
        <x:v>46190.083333333336</x:v>
      </x:c>
      <x:c r="Q21" s="18" t="str">
        <x:f>IF(K21="","Awaiting result","Final")</x:f>
        <x:v>Awaiting result</x:v>
      </x:c>
    </x:row>
    <x:row r="22">
      <x:c r="A22" s="18" t="n">
        <x:v>21</x:v>
      </x:c>
      <x:c r="B22" s="61" t="str">
        <x:v>2026-06-17</x:v>
      </x:c>
      <x:c r="C22" s="18" t="str">
        <x:v>19:00</x:v>
      </x:c>
      <x:c r="D22" s="18" t="str">
        <x:v>19:00</x:v>
      </x:c>
      <x:c r="E22" s="18" t="str">
        <x:v>Group</x:v>
      </x:c>
      <x:c r="F22" s="18" t="str">
        <x:v>L</x:v>
      </x:c>
      <x:c r="G22" s="18" t="str">
        <x:v>Ghana</x:v>
      </x:c>
      <x:c r="H22" s="18" t="str">
        <x:v>Panama</x:v>
      </x:c>
      <x:c r="I22" s="63"/>
      <x:c r="J22" s="63"/>
      <x:c r="K22" s="18"/>
      <x:c r="L22" s="65"/>
      <x:c r="M22" s="18" t="str">
        <x:v>BMO Field</x:v>
      </x:c>
      <x:c r="N22" s="18" t="str">
        <x:v>Toronto</x:v>
      </x:c>
      <x:c r="O22" s="18" t="str">
        <x:f>G22&amp;" vs "&amp;H22</x:f>
        <x:v>Ghana vs Panama</x:v>
      </x:c>
      <x:c r="P22" s="60" t="n">
        <x:v>46191</x:v>
      </x:c>
      <x:c r="Q22" s="18" t="str">
        <x:f>IF(K22="","Awaiting result","Final")</x:f>
        <x:v>Awaiting result</x:v>
      </x:c>
    </x:row>
    <x:row r="23">
      <x:c r="A23" s="18" t="n">
        <x:v>22</x:v>
      </x:c>
      <x:c r="B23" s="61" t="str">
        <x:v>2026-06-17</x:v>
      </x:c>
      <x:c r="C23" s="18" t="str">
        <x:v>16:00</x:v>
      </x:c>
      <x:c r="D23" s="18" t="str">
        <x:v>15:00</x:v>
      </x:c>
      <x:c r="E23" s="18" t="str">
        <x:v>Group</x:v>
      </x:c>
      <x:c r="F23" s="18" t="str">
        <x:v>L</x:v>
      </x:c>
      <x:c r="G23" s="18" t="str">
        <x:v>England</x:v>
      </x:c>
      <x:c r="H23" s="18" t="str">
        <x:v>Croatia</x:v>
      </x:c>
      <x:c r="I23" s="63"/>
      <x:c r="J23" s="63"/>
      <x:c r="K23" s="18"/>
      <x:c r="L23" s="65"/>
      <x:c r="M23" s="18" t="str">
        <x:v>AT&amp;T Stadium</x:v>
      </x:c>
      <x:c r="N23" s="18" t="str">
        <x:v>Dallas</x:v>
      </x:c>
      <x:c r="O23" s="18" t="str">
        <x:f>G23&amp;" vs "&amp;H23</x:f>
        <x:v>England vs Croatia</x:v>
      </x:c>
      <x:c r="P23" s="60" t="n">
        <x:v>46190.833333333336</x:v>
      </x:c>
      <x:c r="Q23" s="18" t="str">
        <x:f>IF(K23="","Awaiting result","Final")</x:f>
        <x:v>Awaiting result</x:v>
      </x:c>
    </x:row>
    <x:row r="24">
      <x:c r="A24" s="18" t="n">
        <x:v>23</x:v>
      </x:c>
      <x:c r="B24" s="61" t="str">
        <x:v>2026-06-17</x:v>
      </x:c>
      <x:c r="C24" s="18" t="str">
        <x:v>13:00</x:v>
      </x:c>
      <x:c r="D24" s="18" t="str">
        <x:v>12:00</x:v>
      </x:c>
      <x:c r="E24" s="18" t="str">
        <x:v>Group</x:v>
      </x:c>
      <x:c r="F24" s="18" t="str">
        <x:v>K</x:v>
      </x:c>
      <x:c r="G24" s="18" t="str">
        <x:v>Portugal</x:v>
      </x:c>
      <x:c r="H24" s="18" t="str">
        <x:v>Congo DR</x:v>
      </x:c>
      <x:c r="I24" s="63"/>
      <x:c r="J24" s="63"/>
      <x:c r="K24" s="18"/>
      <x:c r="L24" s="65"/>
      <x:c r="M24" s="18" t="str">
        <x:v>NRG Stadium</x:v>
      </x:c>
      <x:c r="N24" s="18" t="str">
        <x:v>Houston</x:v>
      </x:c>
      <x:c r="O24" s="18" t="str">
        <x:f>G24&amp;" vs "&amp;H24</x:f>
        <x:v>Portugal vs Congo DR</x:v>
      </x:c>
      <x:c r="P24" s="60" t="n">
        <x:v>46190.708333333336</x:v>
      </x:c>
      <x:c r="Q24" s="18" t="str">
        <x:f>IF(K24="","Awaiting result","Final")</x:f>
        <x:v>Awaiting result</x:v>
      </x:c>
    </x:row>
    <x:row r="25">
      <x:c r="A25" s="18" t="n">
        <x:v>24</x:v>
      </x:c>
      <x:c r="B25" s="61" t="str">
        <x:v>2026-06-17</x:v>
      </x:c>
      <x:c r="C25" s="18" t="str">
        <x:v>22:00</x:v>
      </x:c>
      <x:c r="D25" s="18" t="str">
        <x:v>20:00</x:v>
      </x:c>
      <x:c r="E25" s="18" t="str">
        <x:v>Group</x:v>
      </x:c>
      <x:c r="F25" s="18" t="str">
        <x:v>K</x:v>
      </x:c>
      <x:c r="G25" s="18" t="str">
        <x:v>Uzbekistan</x:v>
      </x:c>
      <x:c r="H25" s="18" t="str">
        <x:v>Colombia</x:v>
      </x:c>
      <x:c r="I25" s="63"/>
      <x:c r="J25" s="63"/>
      <x:c r="K25" s="18"/>
      <x:c r="L25" s="65"/>
      <x:c r="M25" s="18" t="str">
        <x:v>Estadio Azteca</x:v>
      </x:c>
      <x:c r="N25" s="18" t="str">
        <x:v>Mexico City</x:v>
      </x:c>
      <x:c r="O25" s="18" t="str">
        <x:f>G25&amp;" vs "&amp;H25</x:f>
        <x:v>Uzbekistan vs Colombia</x:v>
      </x:c>
      <x:c r="P25" s="60" t="n">
        <x:v>46191.041666666664</x:v>
      </x:c>
      <x:c r="Q25" s="18" t="str">
        <x:f>IF(K25="","Awaiting result","Final")</x:f>
        <x:v>Awaiting result</x:v>
      </x:c>
    </x:row>
    <x:row r="26">
      <x:c r="A26" s="18" t="n">
        <x:v>25</x:v>
      </x:c>
      <x:c r="B26" s="61" t="str">
        <x:v>2026-06-18</x:v>
      </x:c>
      <x:c r="C26" s="18" t="str">
        <x:v>12:00</x:v>
      </x:c>
      <x:c r="D26" s="18" t="str">
        <x:v>12:00</x:v>
      </x:c>
      <x:c r="E26" s="18" t="str">
        <x:v>Group</x:v>
      </x:c>
      <x:c r="F26" s="18" t="str">
        <x:v>A</x:v>
      </x:c>
      <x:c r="G26" s="18" t="str">
        <x:v>Czechia</x:v>
      </x:c>
      <x:c r="H26" s="18" t="str">
        <x:v>South Africa</x:v>
      </x:c>
      <x:c r="I26" s="63"/>
      <x:c r="J26" s="63"/>
      <x:c r="K26" s="18"/>
      <x:c r="L26" s="65"/>
      <x:c r="M26" s="18" t="str">
        <x:v>Mercedes-Benz Stadium</x:v>
      </x:c>
      <x:c r="N26" s="18" t="str">
        <x:v>Atlanta</x:v>
      </x:c>
      <x:c r="O26" s="18" t="str">
        <x:f>G26&amp;" vs "&amp;H26</x:f>
        <x:v>Czechia vs South Africa</x:v>
      </x:c>
      <x:c r="P26" s="60" t="n">
        <x:v>46191.708333333336</x:v>
      </x:c>
      <x:c r="Q26" s="18" t="str">
        <x:f>IF(K26="","Awaiting result","Final")</x:f>
        <x:v>Awaiting result</x:v>
      </x:c>
    </x:row>
    <x:row r="27">
      <x:c r="A27" s="18" t="n">
        <x:v>26</x:v>
      </x:c>
      <x:c r="B27" s="61" t="str">
        <x:v>2026-06-18</x:v>
      </x:c>
      <x:c r="C27" s="18" t="str">
        <x:v>15:00</x:v>
      </x:c>
      <x:c r="D27" s="18" t="str">
        <x:v>12:00</x:v>
      </x:c>
      <x:c r="E27" s="18" t="str">
        <x:v>Group</x:v>
      </x:c>
      <x:c r="F27" s="18" t="str">
        <x:v>B</x:v>
      </x:c>
      <x:c r="G27" s="18" t="str">
        <x:v>Switzerland</x:v>
      </x:c>
      <x:c r="H27" s="18" t="str">
        <x:v>Bosnia and Herzegovina</x:v>
      </x:c>
      <x:c r="I27" s="63"/>
      <x:c r="J27" s="63"/>
      <x:c r="K27" s="18"/>
      <x:c r="L27" s="65"/>
      <x:c r="M27" s="18" t="str">
        <x:v>SoFi Stadium</x:v>
      </x:c>
      <x:c r="N27" s="18" t="str">
        <x:v>Los Angeles</x:v>
      </x:c>
      <x:c r="O27" s="18" t="str">
        <x:f>G27&amp;" vs "&amp;H27</x:f>
        <x:v>Switzerland vs Bosnia and Herzegovina</x:v>
      </x:c>
      <x:c r="P27" s="60" t="n">
        <x:v>46191.708333333336</x:v>
      </x:c>
      <x:c r="Q27" s="18" t="str">
        <x:f>IF(K27="","Awaiting result","Final")</x:f>
        <x:v>Awaiting result</x:v>
      </x:c>
    </x:row>
    <x:row r="28">
      <x:c r="A28" s="18" t="n">
        <x:v>27</x:v>
      </x:c>
      <x:c r="B28" s="61" t="str">
        <x:v>2026-06-18</x:v>
      </x:c>
      <x:c r="C28" s="18" t="str">
        <x:v>18:00</x:v>
      </x:c>
      <x:c r="D28" s="18" t="str">
        <x:v>15:00</x:v>
      </x:c>
      <x:c r="E28" s="18" t="str">
        <x:v>Group</x:v>
      </x:c>
      <x:c r="F28" s="18" t="str">
        <x:v>B</x:v>
      </x:c>
      <x:c r="G28" s="18" t="str">
        <x:v>Canada</x:v>
      </x:c>
      <x:c r="H28" s="18" t="str">
        <x:v>Qatar</x:v>
      </x:c>
      <x:c r="I28" s="63"/>
      <x:c r="J28" s="63"/>
      <x:c r="K28" s="18"/>
      <x:c r="L28" s="65"/>
      <x:c r="M28" s="18" t="str">
        <x:v>BC Place</x:v>
      </x:c>
      <x:c r="N28" s="18" t="str">
        <x:v>Vancouver</x:v>
      </x:c>
      <x:c r="O28" s="18" t="str">
        <x:f>G28&amp;" vs "&amp;H28</x:f>
        <x:v>Canada vs Qatar</x:v>
      </x:c>
      <x:c r="P28" s="60" t="n">
        <x:v>46191.833333333336</x:v>
      </x:c>
      <x:c r="Q28" s="18" t="str">
        <x:f>IF(K28="","Awaiting result","Final")</x:f>
        <x:v>Awaiting result</x:v>
      </x:c>
    </x:row>
    <x:row r="29">
      <x:c r="A29" s="18" t="n">
        <x:v>28</x:v>
      </x:c>
      <x:c r="B29" s="61" t="str">
        <x:v>2026-06-18</x:v>
      </x:c>
      <x:c r="C29" s="18" t="str">
        <x:v>21:00</x:v>
      </x:c>
      <x:c r="D29" s="18" t="str">
        <x:v>19:00</x:v>
      </x:c>
      <x:c r="E29" s="18" t="str">
        <x:v>Group</x:v>
      </x:c>
      <x:c r="F29" s="18" t="str">
        <x:v>A</x:v>
      </x:c>
      <x:c r="G29" s="18" t="str">
        <x:v>Mexico</x:v>
      </x:c>
      <x:c r="H29" s="18" t="str">
        <x:v>South Korea</x:v>
      </x:c>
      <x:c r="I29" s="63"/>
      <x:c r="J29" s="63"/>
      <x:c r="K29" s="18"/>
      <x:c r="L29" s="65"/>
      <x:c r="M29" s="18" t="str">
        <x:v>Estadio Akron</x:v>
      </x:c>
      <x:c r="N29" s="18" t="str">
        <x:v>Guadalajara</x:v>
      </x:c>
      <x:c r="O29" s="18" t="str">
        <x:f>G29&amp;" vs "&amp;H29</x:f>
        <x:v>Mexico vs South Korea</x:v>
      </x:c>
      <x:c r="P29" s="60" t="n">
        <x:v>46192</x:v>
      </x:c>
      <x:c r="Q29" s="18" t="str">
        <x:f>IF(K29="","Awaiting result","Final")</x:f>
        <x:v>Awaiting result</x:v>
      </x:c>
    </x:row>
    <x:row r="30">
      <x:c r="A30" s="18" t="n">
        <x:v>29</x:v>
      </x:c>
      <x:c r="B30" s="61" t="str">
        <x:v>2026-06-19</x:v>
      </x:c>
      <x:c r="C30" s="18" t="str">
        <x:v>21:00</x:v>
      </x:c>
      <x:c r="D30" s="18" t="str">
        <x:v>21:00</x:v>
      </x:c>
      <x:c r="E30" s="18" t="str">
        <x:v>Group</x:v>
      </x:c>
      <x:c r="F30" s="18" t="str">
        <x:v>C</x:v>
      </x:c>
      <x:c r="G30" s="18" t="str">
        <x:v>Brazil</x:v>
      </x:c>
      <x:c r="H30" s="18" t="str">
        <x:v>Haiti</x:v>
      </x:c>
      <x:c r="I30" s="63"/>
      <x:c r="J30" s="63"/>
      <x:c r="K30" s="18"/>
      <x:c r="L30" s="65"/>
      <x:c r="M30" s="18" t="str">
        <x:v>Lincoln Financial Field</x:v>
      </x:c>
      <x:c r="N30" s="18" t="str">
        <x:v>Philadelphia</x:v>
      </x:c>
      <x:c r="O30" s="18" t="str">
        <x:f>G30&amp;" vs "&amp;H30</x:f>
        <x:v>Brazil vs Haiti</x:v>
      </x:c>
      <x:c r="P30" s="60" t="n">
        <x:v>46193.083333333336</x:v>
      </x:c>
      <x:c r="Q30" s="18" t="str">
        <x:f>IF(K30="","Awaiting result","Final")</x:f>
        <x:v>Awaiting result</x:v>
      </x:c>
    </x:row>
    <x:row r="31">
      <x:c r="A31" s="18" t="n">
        <x:v>30</x:v>
      </x:c>
      <x:c r="B31" s="61" t="str">
        <x:v>2026-06-19</x:v>
      </x:c>
      <x:c r="C31" s="18" t="str">
        <x:v>18:00</x:v>
      </x:c>
      <x:c r="D31" s="18" t="str">
        <x:v>18:00</x:v>
      </x:c>
      <x:c r="E31" s="18" t="str">
        <x:v>Group</x:v>
      </x:c>
      <x:c r="F31" s="18" t="str">
        <x:v>C</x:v>
      </x:c>
      <x:c r="G31" s="18" t="str">
        <x:v>Scotland</x:v>
      </x:c>
      <x:c r="H31" s="18" t="str">
        <x:v>Morocco</x:v>
      </x:c>
      <x:c r="I31" s="63"/>
      <x:c r="J31" s="63"/>
      <x:c r="K31" s="18"/>
      <x:c r="L31" s="65"/>
      <x:c r="M31" s="18" t="str">
        <x:v>Gillette Stadium</x:v>
      </x:c>
      <x:c r="N31" s="18" t="str">
        <x:v>Boston</x:v>
      </x:c>
      <x:c r="O31" s="18" t="str">
        <x:f>G31&amp;" vs "&amp;H31</x:f>
        <x:v>Scotland vs Morocco</x:v>
      </x:c>
      <x:c r="P31" s="60" t="n">
        <x:v>46192.958333333336</x:v>
      </x:c>
      <x:c r="Q31" s="18" t="str">
        <x:f>IF(K31="","Awaiting result","Final")</x:f>
        <x:v>Awaiting result</x:v>
      </x:c>
    </x:row>
    <x:row r="32">
      <x:c r="A32" s="18" t="n">
        <x:v>31</x:v>
      </x:c>
      <x:c r="B32" s="61" t="str">
        <x:v>2026-06-19</x:v>
      </x:c>
      <x:c r="C32" s="18" t="str">
        <x:v>23:00</x:v>
      </x:c>
      <x:c r="D32" s="18" t="str">
        <x:v>20:00</x:v>
      </x:c>
      <x:c r="E32" s="18" t="str">
        <x:v>Group</x:v>
      </x:c>
      <x:c r="F32" s="18" t="str">
        <x:v>D</x:v>
      </x:c>
      <x:c r="G32" s="18" t="str">
        <x:v>Türkiye</x:v>
      </x:c>
      <x:c r="H32" s="18" t="str">
        <x:v>Paraguay</x:v>
      </x:c>
      <x:c r="I32" s="63"/>
      <x:c r="J32" s="63"/>
      <x:c r="K32" s="18"/>
      <x:c r="L32" s="65"/>
      <x:c r="M32" s="18" t="str">
        <x:v>Levi's Stadium</x:v>
      </x:c>
      <x:c r="N32" s="18" t="str">
        <x:v>San Francisco Bay Area</x:v>
      </x:c>
      <x:c r="O32" s="18" t="str">
        <x:f>G32&amp;" vs "&amp;H32</x:f>
        <x:v>Türkiye vs Paraguay</x:v>
      </x:c>
      <x:c r="P32" s="60" t="n">
        <x:v>46193.041666666664</x:v>
      </x:c>
      <x:c r="Q32" s="18" t="str">
        <x:f>IF(K32="","Awaiting result","Final")</x:f>
        <x:v>Awaiting result</x:v>
      </x:c>
    </x:row>
    <x:row r="33">
      <x:c r="A33" s="18" t="n">
        <x:v>32</x:v>
      </x:c>
      <x:c r="B33" s="61" t="str">
        <x:v>2026-06-19</x:v>
      </x:c>
      <x:c r="C33" s="18" t="str">
        <x:v>15:00</x:v>
      </x:c>
      <x:c r="D33" s="18" t="str">
        <x:v>12:00</x:v>
      </x:c>
      <x:c r="E33" s="18" t="str">
        <x:v>Group</x:v>
      </x:c>
      <x:c r="F33" s="18" t="str">
        <x:v>D</x:v>
      </x:c>
      <x:c r="G33" s="18" t="str">
        <x:v>USA</x:v>
      </x:c>
      <x:c r="H33" s="18" t="str">
        <x:v>Australia</x:v>
      </x:c>
      <x:c r="I33" s="63"/>
      <x:c r="J33" s="63"/>
      <x:c r="K33" s="18"/>
      <x:c r="L33" s="65"/>
      <x:c r="M33" s="18" t="str">
        <x:v>Lumen Field</x:v>
      </x:c>
      <x:c r="N33" s="18" t="str">
        <x:v>Seattle</x:v>
      </x:c>
      <x:c r="O33" s="18" t="str">
        <x:f>G33&amp;" vs "&amp;H33</x:f>
        <x:v>USA vs Australia</x:v>
      </x:c>
      <x:c r="P33" s="60" t="n">
        <x:v>46192.708333333336</x:v>
      </x:c>
      <x:c r="Q33" s="18" t="str">
        <x:f>IF(K33="","Awaiting result","Final")</x:f>
        <x:v>Awaiting result</x:v>
      </x:c>
    </x:row>
    <x:row r="34">
      <x:c r="A34" s="18" t="n">
        <x:v>33</x:v>
      </x:c>
      <x:c r="B34" s="61" t="str">
        <x:v>2026-06-20</x:v>
      </x:c>
      <x:c r="C34" s="18" t="str">
        <x:v>16:00</x:v>
      </x:c>
      <x:c r="D34" s="18" t="str">
        <x:v>16:00</x:v>
      </x:c>
      <x:c r="E34" s="18" t="str">
        <x:v>Group</x:v>
      </x:c>
      <x:c r="F34" s="18" t="str">
        <x:v>E</x:v>
      </x:c>
      <x:c r="G34" s="18" t="str">
        <x:v>Germany</x:v>
      </x:c>
      <x:c r="H34" s="18" t="str">
        <x:v>Ivory Coast</x:v>
      </x:c>
      <x:c r="I34" s="63"/>
      <x:c r="J34" s="63"/>
      <x:c r="K34" s="18"/>
      <x:c r="L34" s="65"/>
      <x:c r="M34" s="18" t="str">
        <x:v>BMO Field</x:v>
      </x:c>
      <x:c r="N34" s="18" t="str">
        <x:v>Toronto</x:v>
      </x:c>
      <x:c r="O34" s="18" t="str">
        <x:f>G34&amp;" vs "&amp;H34</x:f>
        <x:v>Germany vs Ivory Coast</x:v>
      </x:c>
      <x:c r="P34" s="60" t="n">
        <x:v>46193.875</x:v>
      </x:c>
      <x:c r="Q34" s="18" t="str">
        <x:f>IF(K34="","Awaiting result","Final")</x:f>
        <x:v>Awaiting result</x:v>
      </x:c>
    </x:row>
    <x:row r="35">
      <x:c r="A35" s="18" t="n">
        <x:v>34</x:v>
      </x:c>
      <x:c r="B35" s="61" t="str">
        <x:v>2026-06-20</x:v>
      </x:c>
      <x:c r="C35" s="18" t="str">
        <x:v>20:00</x:v>
      </x:c>
      <x:c r="D35" s="18" t="str">
        <x:v>19:00</x:v>
      </x:c>
      <x:c r="E35" s="18" t="str">
        <x:v>Group</x:v>
      </x:c>
      <x:c r="F35" s="18" t="str">
        <x:v>E</x:v>
      </x:c>
      <x:c r="G35" s="18" t="str">
        <x:v>Ecuador</x:v>
      </x:c>
      <x:c r="H35" s="18" t="str">
        <x:v>Curaçao</x:v>
      </x:c>
      <x:c r="I35" s="63"/>
      <x:c r="J35" s="63"/>
      <x:c r="K35" s="18"/>
      <x:c r="L35" s="65"/>
      <x:c r="M35" s="18" t="str">
        <x:v>Arrowhead Stadium</x:v>
      </x:c>
      <x:c r="N35" s="18" t="str">
        <x:v>Kansas City</x:v>
      </x:c>
      <x:c r="O35" s="18" t="str">
        <x:f>G35&amp;" vs "&amp;H35</x:f>
        <x:v>Ecuador vs Curaçao</x:v>
      </x:c>
      <x:c r="P35" s="60" t="n">
        <x:v>46194</x:v>
      </x:c>
      <x:c r="Q35" s="18" t="str">
        <x:f>IF(K35="","Awaiting result","Final")</x:f>
        <x:v>Awaiting result</x:v>
      </x:c>
    </x:row>
    <x:row r="36">
      <x:c r="A36" s="18" t="n">
        <x:v>35</x:v>
      </x:c>
      <x:c r="B36" s="61" t="str">
        <x:v>2026-06-20</x:v>
      </x:c>
      <x:c r="C36" s="18" t="str">
        <x:v>13:00</x:v>
      </x:c>
      <x:c r="D36" s="18" t="str">
        <x:v>12:00</x:v>
      </x:c>
      <x:c r="E36" s="18" t="str">
        <x:v>Group</x:v>
      </x:c>
      <x:c r="F36" s="18" t="str">
        <x:v>F</x:v>
      </x:c>
      <x:c r="G36" s="18" t="str">
        <x:v>Netherlands</x:v>
      </x:c>
      <x:c r="H36" s="18" t="str">
        <x:v>Sweden</x:v>
      </x:c>
      <x:c r="I36" s="63"/>
      <x:c r="J36" s="63"/>
      <x:c r="K36" s="18"/>
      <x:c r="L36" s="65"/>
      <x:c r="M36" s="18" t="str">
        <x:v>NRG Stadium</x:v>
      </x:c>
      <x:c r="N36" s="18" t="str">
        <x:v>Houston</x:v>
      </x:c>
      <x:c r="O36" s="18" t="str">
        <x:f>G36&amp;" vs "&amp;H36</x:f>
        <x:v>Netherlands vs Sweden</x:v>
      </x:c>
      <x:c r="P36" s="60" t="n">
        <x:v>46193.708333333336</x:v>
      </x:c>
      <x:c r="Q36" s="18" t="str">
        <x:f>IF(K36="","Awaiting result","Final")</x:f>
        <x:v>Awaiting result</x:v>
      </x:c>
    </x:row>
    <x:row r="37">
      <x:c r="A37" s="18" t="n">
        <x:v>36</x:v>
      </x:c>
      <x:c r="B37" s="61" t="str">
        <x:v>2026-06-20</x:v>
      </x:c>
      <x:c r="C37" s="18" t="str">
        <x:v>00:00</x:v>
      </x:c>
      <x:c r="D37" s="18" t="str">
        <x:v>22:00</x:v>
      </x:c>
      <x:c r="E37" s="18" t="str">
        <x:v>Group</x:v>
      </x:c>
      <x:c r="F37" s="18" t="str">
        <x:v>F</x:v>
      </x:c>
      <x:c r="G37" s="18" t="str">
        <x:v>Tunisia</x:v>
      </x:c>
      <x:c r="H37" s="18" t="str">
        <x:v>Japan</x:v>
      </x:c>
      <x:c r="I37" s="63"/>
      <x:c r="J37" s="63"/>
      <x:c r="K37" s="18"/>
      <x:c r="L37" s="65"/>
      <x:c r="M37" s="18" t="str">
        <x:v>Estadio BBVA</x:v>
      </x:c>
      <x:c r="N37" s="18" t="str">
        <x:v>Monterrey</x:v>
      </x:c>
      <x:c r="O37" s="18" t="str">
        <x:f>G37&amp;" vs "&amp;H37</x:f>
        <x:v>Tunisia vs Japan</x:v>
      </x:c>
      <x:c r="P37" s="60" t="n">
        <x:v>46194.125</x:v>
      </x:c>
      <x:c r="Q37" s="18" t="str">
        <x:f>IF(K37="","Awaiting result","Final")</x:f>
        <x:v>Awaiting result</x:v>
      </x:c>
    </x:row>
    <x:row r="38">
      <x:c r="A38" s="18" t="n">
        <x:v>37</x:v>
      </x:c>
      <x:c r="B38" s="61" t="str">
        <x:v>2026-06-21</x:v>
      </x:c>
      <x:c r="C38" s="18" t="str">
        <x:v>18:00</x:v>
      </x:c>
      <x:c r="D38" s="18" t="str">
        <x:v>18:00</x:v>
      </x:c>
      <x:c r="E38" s="18" t="str">
        <x:v>Group</x:v>
      </x:c>
      <x:c r="F38" s="18" t="str">
        <x:v>H</x:v>
      </x:c>
      <x:c r="G38" s="18" t="str">
        <x:v>Uruguay</x:v>
      </x:c>
      <x:c r="H38" s="18" t="str">
        <x:v>Cape Verde</x:v>
      </x:c>
      <x:c r="I38" s="63"/>
      <x:c r="J38" s="63"/>
      <x:c r="K38" s="18"/>
      <x:c r="L38" s="65"/>
      <x:c r="M38" s="18" t="str">
        <x:v>Hard Rock Stadium</x:v>
      </x:c>
      <x:c r="N38" s="18" t="str">
        <x:v>Miami</x:v>
      </x:c>
      <x:c r="O38" s="18" t="str">
        <x:f>G38&amp;" vs "&amp;H38</x:f>
        <x:v>Uruguay vs Cape Verde</x:v>
      </x:c>
      <x:c r="P38" s="60" t="n">
        <x:v>46194.958333333336</x:v>
      </x:c>
      <x:c r="Q38" s="18" t="str">
        <x:f>IF(K38="","Awaiting result","Final")</x:f>
        <x:v>Awaiting result</x:v>
      </x:c>
    </x:row>
    <x:row r="39">
      <x:c r="A39" s="18" t="n">
        <x:v>38</x:v>
      </x:c>
      <x:c r="B39" s="61" t="str">
        <x:v>2026-06-21</x:v>
      </x:c>
      <x:c r="C39" s="18" t="str">
        <x:v>12:00</x:v>
      </x:c>
      <x:c r="D39" s="18" t="str">
        <x:v>12:00</x:v>
      </x:c>
      <x:c r="E39" s="18" t="str">
        <x:v>Group</x:v>
      </x:c>
      <x:c r="F39" s="18" t="str">
        <x:v>H</x:v>
      </x:c>
      <x:c r="G39" s="18" t="str">
        <x:v>Spain</x:v>
      </x:c>
      <x:c r="H39" s="18" t="str">
        <x:v>Saudi Arabia</x:v>
      </x:c>
      <x:c r="I39" s="63"/>
      <x:c r="J39" s="63"/>
      <x:c r="K39" s="18"/>
      <x:c r="L39" s="65"/>
      <x:c r="M39" s="18" t="str">
        <x:v>Mercedes-Benz Stadium</x:v>
      </x:c>
      <x:c r="N39" s="18" t="str">
        <x:v>Atlanta</x:v>
      </x:c>
      <x:c r="O39" s="18" t="str">
        <x:f>G39&amp;" vs "&amp;H39</x:f>
        <x:v>Spain vs Saudi Arabia</x:v>
      </x:c>
      <x:c r="P39" s="60" t="n">
        <x:v>46194.708333333336</x:v>
      </x:c>
      <x:c r="Q39" s="18" t="str">
        <x:f>IF(K39="","Awaiting result","Final")</x:f>
        <x:v>Awaiting result</x:v>
      </x:c>
    </x:row>
    <x:row r="40">
      <x:c r="A40" s="18" t="n">
        <x:v>39</x:v>
      </x:c>
      <x:c r="B40" s="61" t="str">
        <x:v>2026-06-21</x:v>
      </x:c>
      <x:c r="C40" s="18" t="str">
        <x:v>15:00</x:v>
      </x:c>
      <x:c r="D40" s="18" t="str">
        <x:v>12:00</x:v>
      </x:c>
      <x:c r="E40" s="18" t="str">
        <x:v>Group</x:v>
      </x:c>
      <x:c r="F40" s="18" t="str">
        <x:v>G</x:v>
      </x:c>
      <x:c r="G40" s="18" t="str">
        <x:v>Belgium</x:v>
      </x:c>
      <x:c r="H40" s="18" t="str">
        <x:v>Iran</x:v>
      </x:c>
      <x:c r="I40" s="63"/>
      <x:c r="J40" s="63"/>
      <x:c r="K40" s="18"/>
      <x:c r="L40" s="65"/>
      <x:c r="M40" s="18" t="str">
        <x:v>SoFi Stadium</x:v>
      </x:c>
      <x:c r="N40" s="18" t="str">
        <x:v>Los Angeles</x:v>
      </x:c>
      <x:c r="O40" s="18" t="str">
        <x:f>G40&amp;" vs "&amp;H40</x:f>
        <x:v>Belgium vs Iran</x:v>
      </x:c>
      <x:c r="P40" s="60" t="n">
        <x:v>46194.708333333336</x:v>
      </x:c>
      <x:c r="Q40" s="18" t="str">
        <x:f>IF(K40="","Awaiting result","Final")</x:f>
        <x:v>Awaiting result</x:v>
      </x:c>
    </x:row>
    <x:row r="41">
      <x:c r="A41" s="18" t="n">
        <x:v>40</x:v>
      </x:c>
      <x:c r="B41" s="61" t="str">
        <x:v>2026-06-21</x:v>
      </x:c>
      <x:c r="C41" s="18" t="str">
        <x:v>21:00</x:v>
      </x:c>
      <x:c r="D41" s="18" t="str">
        <x:v>18:00</x:v>
      </x:c>
      <x:c r="E41" s="18" t="str">
        <x:v>Group</x:v>
      </x:c>
      <x:c r="F41" s="18" t="str">
        <x:v>G</x:v>
      </x:c>
      <x:c r="G41" s="18" t="str">
        <x:v>New Zealand</x:v>
      </x:c>
      <x:c r="H41" s="18" t="str">
        <x:v>Egypt</x:v>
      </x:c>
      <x:c r="I41" s="63"/>
      <x:c r="J41" s="63"/>
      <x:c r="K41" s="18"/>
      <x:c r="L41" s="65"/>
      <x:c r="M41" s="18" t="str">
        <x:v>BC Place</x:v>
      </x:c>
      <x:c r="N41" s="18" t="str">
        <x:v>Vancouver</x:v>
      </x:c>
      <x:c r="O41" s="18" t="str">
        <x:f>G41&amp;" vs "&amp;H41</x:f>
        <x:v>New Zealand vs Egypt</x:v>
      </x:c>
      <x:c r="P41" s="60" t="n">
        <x:v>46194.958333333336</x:v>
      </x:c>
      <x:c r="Q41" s="18" t="str">
        <x:f>IF(K41="","Awaiting result","Final")</x:f>
        <x:v>Awaiting result</x:v>
      </x:c>
    </x:row>
    <x:row r="42">
      <x:c r="A42" s="18" t="n">
        <x:v>41</x:v>
      </x:c>
      <x:c r="B42" s="61" t="str">
        <x:v>2026-06-22</x:v>
      </x:c>
      <x:c r="C42" s="18" t="str">
        <x:v>20:00</x:v>
      </x:c>
      <x:c r="D42" s="18" t="str">
        <x:v>20:00</x:v>
      </x:c>
      <x:c r="E42" s="18" t="str">
        <x:v>Group</x:v>
      </x:c>
      <x:c r="F42" s="18" t="str">
        <x:v>I</x:v>
      </x:c>
      <x:c r="G42" s="18" t="str">
        <x:v>Norway</x:v>
      </x:c>
      <x:c r="H42" s="18" t="str">
        <x:v>Senegal</x:v>
      </x:c>
      <x:c r="I42" s="63"/>
      <x:c r="J42" s="63"/>
      <x:c r="K42" s="18"/>
      <x:c r="L42" s="65"/>
      <x:c r="M42" s="18" t="str">
        <x:v>MetLife Stadium</x:v>
      </x:c>
      <x:c r="N42" s="18" t="str">
        <x:v>New York/New Jersey</x:v>
      </x:c>
      <x:c r="O42" s="18" t="str">
        <x:f>G42&amp;" vs "&amp;H42</x:f>
        <x:v>Norway vs Senegal</x:v>
      </x:c>
      <x:c r="P42" s="60" t="n">
        <x:v>46196.041666666664</x:v>
      </x:c>
      <x:c r="Q42" s="18" t="str">
        <x:f>IF(K42="","Awaiting result","Final")</x:f>
        <x:v>Awaiting result</x:v>
      </x:c>
    </x:row>
    <x:row r="43">
      <x:c r="A43" s="18" t="n">
        <x:v>42</x:v>
      </x:c>
      <x:c r="B43" s="61" t="str">
        <x:v>2026-06-22</x:v>
      </x:c>
      <x:c r="C43" s="18" t="str">
        <x:v>17:00</x:v>
      </x:c>
      <x:c r="D43" s="18" t="str">
        <x:v>17:00</x:v>
      </x:c>
      <x:c r="E43" s="18" t="str">
        <x:v>Group</x:v>
      </x:c>
      <x:c r="F43" s="18" t="str">
        <x:v>I</x:v>
      </x:c>
      <x:c r="G43" s="18" t="str">
        <x:v>France</x:v>
      </x:c>
      <x:c r="H43" s="18" t="str">
        <x:v>Iraq</x:v>
      </x:c>
      <x:c r="I43" s="63"/>
      <x:c r="J43" s="63"/>
      <x:c r="K43" s="18"/>
      <x:c r="L43" s="65"/>
      <x:c r="M43" s="18" t="str">
        <x:v>Lincoln Financial Field</x:v>
      </x:c>
      <x:c r="N43" s="18" t="str">
        <x:v>Philadelphia</x:v>
      </x:c>
      <x:c r="O43" s="18" t="str">
        <x:f>G43&amp;" vs "&amp;H43</x:f>
        <x:v>France vs Iraq</x:v>
      </x:c>
      <x:c r="P43" s="60" t="n">
        <x:v>46195.916666666664</x:v>
      </x:c>
      <x:c r="Q43" s="18" t="str">
        <x:f>IF(K43="","Awaiting result","Final")</x:f>
        <x:v>Awaiting result</x:v>
      </x:c>
    </x:row>
    <x:row r="44">
      <x:c r="A44" s="18" t="n">
        <x:v>43</x:v>
      </x:c>
      <x:c r="B44" s="61" t="str">
        <x:v>2026-06-22</x:v>
      </x:c>
      <x:c r="C44" s="18" t="str">
        <x:v>13:00</x:v>
      </x:c>
      <x:c r="D44" s="18" t="str">
        <x:v>12:00</x:v>
      </x:c>
      <x:c r="E44" s="18" t="str">
        <x:v>Group</x:v>
      </x:c>
      <x:c r="F44" s="18" t="str">
        <x:v>J</x:v>
      </x:c>
      <x:c r="G44" s="18" t="str">
        <x:v>Argentina</x:v>
      </x:c>
      <x:c r="H44" s="18" t="str">
        <x:v>Austria</x:v>
      </x:c>
      <x:c r="I44" s="63"/>
      <x:c r="J44" s="63"/>
      <x:c r="K44" s="18"/>
      <x:c r="L44" s="65"/>
      <x:c r="M44" s="18" t="str">
        <x:v>AT&amp;T Stadium</x:v>
      </x:c>
      <x:c r="N44" s="18" t="str">
        <x:v>Dallas</x:v>
      </x:c>
      <x:c r="O44" s="18" t="str">
        <x:f>G44&amp;" vs "&amp;H44</x:f>
        <x:v>Argentina vs Austria</x:v>
      </x:c>
      <x:c r="P44" s="60" t="n">
        <x:v>46195.708333333336</x:v>
      </x:c>
      <x:c r="Q44" s="18" t="str">
        <x:f>IF(K44="","Awaiting result","Final")</x:f>
        <x:v>Awaiting result</x:v>
      </x:c>
    </x:row>
    <x:row r="45">
      <x:c r="A45" s="18" t="n">
        <x:v>44</x:v>
      </x:c>
      <x:c r="B45" s="61" t="str">
        <x:v>2026-06-22</x:v>
      </x:c>
      <x:c r="C45" s="18" t="str">
        <x:v>23:00</x:v>
      </x:c>
      <x:c r="D45" s="18" t="str">
        <x:v>20:00</x:v>
      </x:c>
      <x:c r="E45" s="18" t="str">
        <x:v>Group</x:v>
      </x:c>
      <x:c r="F45" s="18" t="str">
        <x:v>J</x:v>
      </x:c>
      <x:c r="G45" s="18" t="str">
        <x:v>Jordan</x:v>
      </x:c>
      <x:c r="H45" s="18" t="str">
        <x:v>Algeria</x:v>
      </x:c>
      <x:c r="I45" s="63"/>
      <x:c r="J45" s="63"/>
      <x:c r="K45" s="18"/>
      <x:c r="L45" s="65"/>
      <x:c r="M45" s="18" t="str">
        <x:v>Levi's Stadium</x:v>
      </x:c>
      <x:c r="N45" s="18" t="str">
        <x:v>San Francisco Bay Area</x:v>
      </x:c>
      <x:c r="O45" s="18" t="str">
        <x:f>G45&amp;" vs "&amp;H45</x:f>
        <x:v>Jordan vs Algeria</x:v>
      </x:c>
      <x:c r="P45" s="60" t="n">
        <x:v>46196.041666666664</x:v>
      </x:c>
      <x:c r="Q45" s="18" t="str">
        <x:f>IF(K45="","Awaiting result","Final")</x:f>
        <x:v>Awaiting result</x:v>
      </x:c>
    </x:row>
    <x:row r="46">
      <x:c r="A46" s="18" t="n">
        <x:v>45</x:v>
      </x:c>
      <x:c r="B46" s="61" t="str">
        <x:v>2026-06-23</x:v>
      </x:c>
      <x:c r="C46" s="18" t="str">
        <x:v>16:00</x:v>
      </x:c>
      <x:c r="D46" s="18" t="str">
        <x:v>16:00</x:v>
      </x:c>
      <x:c r="E46" s="18" t="str">
        <x:v>Group</x:v>
      </x:c>
      <x:c r="F46" s="18" t="str">
        <x:v>L</x:v>
      </x:c>
      <x:c r="G46" s="18" t="str">
        <x:v>England</x:v>
      </x:c>
      <x:c r="H46" s="18" t="str">
        <x:v>Ghana</x:v>
      </x:c>
      <x:c r="I46" s="63"/>
      <x:c r="J46" s="63"/>
      <x:c r="K46" s="18"/>
      <x:c r="L46" s="65"/>
      <x:c r="M46" s="18" t="str">
        <x:v>Gillette Stadium</x:v>
      </x:c>
      <x:c r="N46" s="18" t="str">
        <x:v>Boston</x:v>
      </x:c>
      <x:c r="O46" s="18" t="str">
        <x:f>G46&amp;" vs "&amp;H46</x:f>
        <x:v>England vs Ghana</x:v>
      </x:c>
      <x:c r="P46" s="60" t="n">
        <x:v>46196.875</x:v>
      </x:c>
      <x:c r="Q46" s="18" t="str">
        <x:f>IF(K46="","Awaiting result","Final")</x:f>
        <x:v>Awaiting result</x:v>
      </x:c>
    </x:row>
    <x:row r="47">
      <x:c r="A47" s="18" t="n">
        <x:v>46</x:v>
      </x:c>
      <x:c r="B47" s="61" t="str">
        <x:v>2026-06-23</x:v>
      </x:c>
      <x:c r="C47" s="18" t="str">
        <x:v>19:00</x:v>
      </x:c>
      <x:c r="D47" s="18" t="str">
        <x:v>19:00</x:v>
      </x:c>
      <x:c r="E47" s="18" t="str">
        <x:v>Group</x:v>
      </x:c>
      <x:c r="F47" s="18" t="str">
        <x:v>L</x:v>
      </x:c>
      <x:c r="G47" s="18" t="str">
        <x:v>Panama</x:v>
      </x:c>
      <x:c r="H47" s="18" t="str">
        <x:v>Croatia</x:v>
      </x:c>
      <x:c r="I47" s="63"/>
      <x:c r="J47" s="63"/>
      <x:c r="K47" s="18"/>
      <x:c r="L47" s="65"/>
      <x:c r="M47" s="18" t="str">
        <x:v>BMO Field</x:v>
      </x:c>
      <x:c r="N47" s="18" t="str">
        <x:v>Toronto</x:v>
      </x:c>
      <x:c r="O47" s="18" t="str">
        <x:f>G47&amp;" vs "&amp;H47</x:f>
        <x:v>Panama vs Croatia</x:v>
      </x:c>
      <x:c r="P47" s="60" t="n">
        <x:v>46197</x:v>
      </x:c>
      <x:c r="Q47" s="18" t="str">
        <x:f>IF(K47="","Awaiting result","Final")</x:f>
        <x:v>Awaiting result</x:v>
      </x:c>
    </x:row>
    <x:row r="48">
      <x:c r="A48" s="18" t="n">
        <x:v>47</x:v>
      </x:c>
      <x:c r="B48" s="61" t="str">
        <x:v>2026-06-23</x:v>
      </x:c>
      <x:c r="C48" s="18" t="str">
        <x:v>13:00</x:v>
      </x:c>
      <x:c r="D48" s="18" t="str">
        <x:v>12:00</x:v>
      </x:c>
      <x:c r="E48" s="18" t="str">
        <x:v>Group</x:v>
      </x:c>
      <x:c r="F48" s="18" t="str">
        <x:v>K</x:v>
      </x:c>
      <x:c r="G48" s="18" t="str">
        <x:v>Portugal</x:v>
      </x:c>
      <x:c r="H48" s="18" t="str">
        <x:v>Uzbekistan</x:v>
      </x:c>
      <x:c r="I48" s="63"/>
      <x:c r="J48" s="63"/>
      <x:c r="K48" s="18"/>
      <x:c r="L48" s="65"/>
      <x:c r="M48" s="18" t="str">
        <x:v>NRG Stadium</x:v>
      </x:c>
      <x:c r="N48" s="18" t="str">
        <x:v>Houston</x:v>
      </x:c>
      <x:c r="O48" s="18" t="str">
        <x:f>G48&amp;" vs "&amp;H48</x:f>
        <x:v>Portugal vs Uzbekistan</x:v>
      </x:c>
      <x:c r="P48" s="60" t="n">
        <x:v>46196.708333333336</x:v>
      </x:c>
      <x:c r="Q48" s="18" t="str">
        <x:f>IF(K48="","Awaiting result","Final")</x:f>
        <x:v>Awaiting result</x:v>
      </x:c>
    </x:row>
    <x:row r="49">
      <x:c r="A49" s="18" t="n">
        <x:v>48</x:v>
      </x:c>
      <x:c r="B49" s="61" t="str">
        <x:v>2026-06-23</x:v>
      </x:c>
      <x:c r="C49" s="18" t="str">
        <x:v>22:00</x:v>
      </x:c>
      <x:c r="D49" s="18" t="str">
        <x:v>20:00</x:v>
      </x:c>
      <x:c r="E49" s="18" t="str">
        <x:v>Group</x:v>
      </x:c>
      <x:c r="F49" s="18" t="str">
        <x:v>K</x:v>
      </x:c>
      <x:c r="G49" s="18" t="str">
        <x:v>Colombia</x:v>
      </x:c>
      <x:c r="H49" s="18" t="str">
        <x:v>Congo DR</x:v>
      </x:c>
      <x:c r="I49" s="63"/>
      <x:c r="J49" s="63"/>
      <x:c r="K49" s="18"/>
      <x:c r="L49" s="65"/>
      <x:c r="M49" s="18" t="str">
        <x:v>Estadio Akron</x:v>
      </x:c>
      <x:c r="N49" s="18" t="str">
        <x:v>Guadalajara</x:v>
      </x:c>
      <x:c r="O49" s="18" t="str">
        <x:f>G49&amp;" vs "&amp;H49</x:f>
        <x:v>Colombia vs Congo DR</x:v>
      </x:c>
      <x:c r="P49" s="60" t="n">
        <x:v>46197.041666666664</x:v>
      </x:c>
      <x:c r="Q49" s="18" t="str">
        <x:f>IF(K49="","Awaiting result","Final")</x:f>
        <x:v>Awaiting result</x:v>
      </x:c>
    </x:row>
    <x:row r="50">
      <x:c r="A50" s="18" t="n">
        <x:v>49</x:v>
      </x:c>
      <x:c r="B50" s="61" t="str">
        <x:v>2026-06-24</x:v>
      </x:c>
      <x:c r="C50" s="18" t="str">
        <x:v>18:00</x:v>
      </x:c>
      <x:c r="D50" s="18" t="str">
        <x:v>18:00</x:v>
      </x:c>
      <x:c r="E50" s="18" t="str">
        <x:v>Group</x:v>
      </x:c>
      <x:c r="F50" s="18" t="str">
        <x:v>C</x:v>
      </x:c>
      <x:c r="G50" s="18" t="str">
        <x:v>Scotland</x:v>
      </x:c>
      <x:c r="H50" s="18" t="str">
        <x:v>Brazil</x:v>
      </x:c>
      <x:c r="I50" s="63"/>
      <x:c r="J50" s="63"/>
      <x:c r="K50" s="18"/>
      <x:c r="L50" s="65"/>
      <x:c r="M50" s="18" t="str">
        <x:v>Hard Rock Stadium</x:v>
      </x:c>
      <x:c r="N50" s="18" t="str">
        <x:v>Miami</x:v>
      </x:c>
      <x:c r="O50" s="18" t="str">
        <x:f>G50&amp;" vs "&amp;H50</x:f>
        <x:v>Scotland vs Brazil</x:v>
      </x:c>
      <x:c r="P50" s="60" t="n">
        <x:v>46197.958333333336</x:v>
      </x:c>
      <x:c r="Q50" s="18" t="str">
        <x:f>IF(K50="","Awaiting result","Final")</x:f>
        <x:v>Awaiting result</x:v>
      </x:c>
    </x:row>
    <x:row r="51">
      <x:c r="A51" s="18" t="n">
        <x:v>50</x:v>
      </x:c>
      <x:c r="B51" s="61" t="str">
        <x:v>2026-06-24</x:v>
      </x:c>
      <x:c r="C51" s="18" t="str">
        <x:v>18:00</x:v>
      </x:c>
      <x:c r="D51" s="18" t="str">
        <x:v>18:00</x:v>
      </x:c>
      <x:c r="E51" s="18" t="str">
        <x:v>Group</x:v>
      </x:c>
      <x:c r="F51" s="18" t="str">
        <x:v>C</x:v>
      </x:c>
      <x:c r="G51" s="18" t="str">
        <x:v>Morocco</x:v>
      </x:c>
      <x:c r="H51" s="18" t="str">
        <x:v>Haiti</x:v>
      </x:c>
      <x:c r="I51" s="63"/>
      <x:c r="J51" s="63"/>
      <x:c r="K51" s="18"/>
      <x:c r="L51" s="65"/>
      <x:c r="M51" s="18" t="str">
        <x:v>Mercedes-Benz Stadium</x:v>
      </x:c>
      <x:c r="N51" s="18" t="str">
        <x:v>Atlanta</x:v>
      </x:c>
      <x:c r="O51" s="18" t="str">
        <x:f>G51&amp;" vs "&amp;H51</x:f>
        <x:v>Morocco vs Haiti</x:v>
      </x:c>
      <x:c r="P51" s="60" t="n">
        <x:v>46197.958333333336</x:v>
      </x:c>
      <x:c r="Q51" s="18" t="str">
        <x:f>IF(K51="","Awaiting result","Final")</x:f>
        <x:v>Awaiting result</x:v>
      </x:c>
    </x:row>
    <x:row r="52">
      <x:c r="A52" s="18" t="n">
        <x:v>51</x:v>
      </x:c>
      <x:c r="B52" s="61" t="str">
        <x:v>2026-06-24</x:v>
      </x:c>
      <x:c r="C52" s="18" t="str">
        <x:v>15:00</x:v>
      </x:c>
      <x:c r="D52" s="18" t="str">
        <x:v>12:00</x:v>
      </x:c>
      <x:c r="E52" s="18" t="str">
        <x:v>Group</x:v>
      </x:c>
      <x:c r="F52" s="18" t="str">
        <x:v>B</x:v>
      </x:c>
      <x:c r="G52" s="18" t="str">
        <x:v>Switzerland</x:v>
      </x:c>
      <x:c r="H52" s="18" t="str">
        <x:v>Canada</x:v>
      </x:c>
      <x:c r="I52" s="63"/>
      <x:c r="J52" s="63"/>
      <x:c r="K52" s="18"/>
      <x:c r="L52" s="65"/>
      <x:c r="M52" s="18" t="str">
        <x:v>BC Place</x:v>
      </x:c>
      <x:c r="N52" s="18" t="str">
        <x:v>Vancouver</x:v>
      </x:c>
      <x:c r="O52" s="18" t="str">
        <x:f>G52&amp;" vs "&amp;H52</x:f>
        <x:v>Switzerland vs Canada</x:v>
      </x:c>
      <x:c r="P52" s="60" t="n">
        <x:v>46197.708333333336</x:v>
      </x:c>
      <x:c r="Q52" s="18" t="str">
        <x:f>IF(K52="","Awaiting result","Final")</x:f>
        <x:v>Awaiting result</x:v>
      </x:c>
    </x:row>
    <x:row r="53">
      <x:c r="A53" s="18" t="n">
        <x:v>52</x:v>
      </x:c>
      <x:c r="B53" s="61" t="str">
        <x:v>2026-06-24</x:v>
      </x:c>
      <x:c r="C53" s="18" t="str">
        <x:v>15:00</x:v>
      </x:c>
      <x:c r="D53" s="18" t="str">
        <x:v>12:00</x:v>
      </x:c>
      <x:c r="E53" s="18" t="str">
        <x:v>Group</x:v>
      </x:c>
      <x:c r="F53" s="18" t="str">
        <x:v>B</x:v>
      </x:c>
      <x:c r="G53" s="18" t="str">
        <x:v>Bosnia and Herzegovina</x:v>
      </x:c>
      <x:c r="H53" s="18" t="str">
        <x:v>Qatar</x:v>
      </x:c>
      <x:c r="I53" s="63"/>
      <x:c r="J53" s="63"/>
      <x:c r="K53" s="18"/>
      <x:c r="L53" s="65"/>
      <x:c r="M53" s="18" t="str">
        <x:v>Lumen Field</x:v>
      </x:c>
      <x:c r="N53" s="18" t="str">
        <x:v>Seattle</x:v>
      </x:c>
      <x:c r="O53" s="18" t="str">
        <x:f>G53&amp;" vs "&amp;H53</x:f>
        <x:v>Bosnia and Herzegovina vs Qatar</x:v>
      </x:c>
      <x:c r="P53" s="60" t="n">
        <x:v>46197.708333333336</x:v>
      </x:c>
      <x:c r="Q53" s="18" t="str">
        <x:f>IF(K53="","Awaiting result","Final")</x:f>
        <x:v>Awaiting result</x:v>
      </x:c>
    </x:row>
    <x:row r="54">
      <x:c r="A54" s="18" t="n">
        <x:v>53</x:v>
      </x:c>
      <x:c r="B54" s="61" t="str">
        <x:v>2026-06-24</x:v>
      </x:c>
      <x:c r="C54" s="18" t="str">
        <x:v>21:00</x:v>
      </x:c>
      <x:c r="D54" s="18" t="str">
        <x:v>19:00</x:v>
      </x:c>
      <x:c r="E54" s="18" t="str">
        <x:v>Group</x:v>
      </x:c>
      <x:c r="F54" s="18" t="str">
        <x:v>A</x:v>
      </x:c>
      <x:c r="G54" s="18" t="str">
        <x:v>Czechia</x:v>
      </x:c>
      <x:c r="H54" s="18" t="str">
        <x:v>Mexico</x:v>
      </x:c>
      <x:c r="I54" s="63"/>
      <x:c r="J54" s="63"/>
      <x:c r="K54" s="18"/>
      <x:c r="L54" s="65"/>
      <x:c r="M54" s="18" t="str">
        <x:v>Estadio Azteca</x:v>
      </x:c>
      <x:c r="N54" s="18" t="str">
        <x:v>Mexico City</x:v>
      </x:c>
      <x:c r="O54" s="18" t="str">
        <x:f>G54&amp;" vs "&amp;H54</x:f>
        <x:v>Czechia vs Mexico</x:v>
      </x:c>
      <x:c r="P54" s="60" t="n">
        <x:v>46198</x:v>
      </x:c>
      <x:c r="Q54" s="18" t="str">
        <x:f>IF(K54="","Awaiting result","Final")</x:f>
        <x:v>Awaiting result</x:v>
      </x:c>
    </x:row>
    <x:row r="55">
      <x:c r="A55" s="18" t="n">
        <x:v>54</x:v>
      </x:c>
      <x:c r="B55" s="61" t="str">
        <x:v>2026-06-24</x:v>
      </x:c>
      <x:c r="C55" s="18" t="str">
        <x:v>21:00</x:v>
      </x:c>
      <x:c r="D55" s="18" t="str">
        <x:v>19:00</x:v>
      </x:c>
      <x:c r="E55" s="18" t="str">
        <x:v>Group</x:v>
      </x:c>
      <x:c r="F55" s="18" t="str">
        <x:v>A</x:v>
      </x:c>
      <x:c r="G55" s="18" t="str">
        <x:v>South Africa</x:v>
      </x:c>
      <x:c r="H55" s="18" t="str">
        <x:v>South Korea</x:v>
      </x:c>
      <x:c r="I55" s="63"/>
      <x:c r="J55" s="63"/>
      <x:c r="K55" s="18"/>
      <x:c r="L55" s="65"/>
      <x:c r="M55" s="18" t="str">
        <x:v>Estadio BBVA</x:v>
      </x:c>
      <x:c r="N55" s="18" t="str">
        <x:v>Monterrey</x:v>
      </x:c>
      <x:c r="O55" s="18" t="str">
        <x:f>G55&amp;" vs "&amp;H55</x:f>
        <x:v>South Africa vs South Korea</x:v>
      </x:c>
      <x:c r="P55" s="60" t="n">
        <x:v>46198</x:v>
      </x:c>
      <x:c r="Q55" s="18" t="str">
        <x:f>IF(K55="","Awaiting result","Final")</x:f>
        <x:v>Awaiting result</x:v>
      </x:c>
    </x:row>
    <x:row r="56">
      <x:c r="A56" s="18" t="n">
        <x:v>55</x:v>
      </x:c>
      <x:c r="B56" s="61" t="str">
        <x:v>2026-06-25</x:v>
      </x:c>
      <x:c r="C56" s="18" t="str">
        <x:v>16:00</x:v>
      </x:c>
      <x:c r="D56" s="18" t="str">
        <x:v>16:00</x:v>
      </x:c>
      <x:c r="E56" s="18" t="str">
        <x:v>Group</x:v>
      </x:c>
      <x:c r="F56" s="18" t="str">
        <x:v>E</x:v>
      </x:c>
      <x:c r="G56" s="18" t="str">
        <x:v>Curaçao</x:v>
      </x:c>
      <x:c r="H56" s="18" t="str">
        <x:v>Ivory Coast</x:v>
      </x:c>
      <x:c r="I56" s="63"/>
      <x:c r="J56" s="63"/>
      <x:c r="K56" s="18"/>
      <x:c r="L56" s="65"/>
      <x:c r="M56" s="18" t="str">
        <x:v>Lincoln Financial Field</x:v>
      </x:c>
      <x:c r="N56" s="18" t="str">
        <x:v>Philadelphia</x:v>
      </x:c>
      <x:c r="O56" s="18" t="str">
        <x:f>G56&amp;" vs "&amp;H56</x:f>
        <x:v>Curaçao vs Ivory Coast</x:v>
      </x:c>
      <x:c r="P56" s="60" t="n">
        <x:v>46198.875</x:v>
      </x:c>
      <x:c r="Q56" s="18" t="str">
        <x:f>IF(K56="","Awaiting result","Final")</x:f>
        <x:v>Awaiting result</x:v>
      </x:c>
    </x:row>
    <x:row r="57">
      <x:c r="A57" s="18" t="n">
        <x:v>56</x:v>
      </x:c>
      <x:c r="B57" s="61" t="str">
        <x:v>2026-06-25</x:v>
      </x:c>
      <x:c r="C57" s="18" t="str">
        <x:v>16:00</x:v>
      </x:c>
      <x:c r="D57" s="18" t="str">
        <x:v>16:00</x:v>
      </x:c>
      <x:c r="E57" s="18" t="str">
        <x:v>Group</x:v>
      </x:c>
      <x:c r="F57" s="18" t="str">
        <x:v>E</x:v>
      </x:c>
      <x:c r="G57" s="18" t="str">
        <x:v>Ecuador</x:v>
      </x:c>
      <x:c r="H57" s="18" t="str">
        <x:v>Germany</x:v>
      </x:c>
      <x:c r="I57" s="63"/>
      <x:c r="J57" s="63"/>
      <x:c r="K57" s="18"/>
      <x:c r="L57" s="65"/>
      <x:c r="M57" s="18" t="str">
        <x:v>MetLife Stadium</x:v>
      </x:c>
      <x:c r="N57" s="18" t="str">
        <x:v>New York/New Jersey</x:v>
      </x:c>
      <x:c r="O57" s="18" t="str">
        <x:f>G57&amp;" vs "&amp;H57</x:f>
        <x:v>Ecuador vs Germany</x:v>
      </x:c>
      <x:c r="P57" s="60" t="n">
        <x:v>46198.875</x:v>
      </x:c>
      <x:c r="Q57" s="18" t="str">
        <x:f>IF(K57="","Awaiting result","Final")</x:f>
        <x:v>Awaiting result</x:v>
      </x:c>
    </x:row>
    <x:row r="58">
      <x:c r="A58" s="18" t="n">
        <x:v>57</x:v>
      </x:c>
      <x:c r="B58" s="61" t="str">
        <x:v>2026-06-25</x:v>
      </x:c>
      <x:c r="C58" s="18" t="str">
        <x:v>19:00</x:v>
      </x:c>
      <x:c r="D58" s="18" t="str">
        <x:v>18:00</x:v>
      </x:c>
      <x:c r="E58" s="18" t="str">
        <x:v>Group</x:v>
      </x:c>
      <x:c r="F58" s="18" t="str">
        <x:v>F</x:v>
      </x:c>
      <x:c r="G58" s="18" t="str">
        <x:v>Japan</x:v>
      </x:c>
      <x:c r="H58" s="18" t="str">
        <x:v>Sweden</x:v>
      </x:c>
      <x:c r="I58" s="63"/>
      <x:c r="J58" s="63"/>
      <x:c r="K58" s="18"/>
      <x:c r="L58" s="65"/>
      <x:c r="M58" s="18" t="str">
        <x:v>AT&amp;T Stadium</x:v>
      </x:c>
      <x:c r="N58" s="18" t="str">
        <x:v>Dallas</x:v>
      </x:c>
      <x:c r="O58" s="18" t="str">
        <x:f>G58&amp;" vs "&amp;H58</x:f>
        <x:v>Japan vs Sweden</x:v>
      </x:c>
      <x:c r="P58" s="60" t="n">
        <x:v>46198.958333333336</x:v>
      </x:c>
      <x:c r="Q58" s="18" t="str">
        <x:f>IF(K58="","Awaiting result","Final")</x:f>
        <x:v>Awaiting result</x:v>
      </x:c>
    </x:row>
    <x:row r="59">
      <x:c r="A59" s="18" t="n">
        <x:v>58</x:v>
      </x:c>
      <x:c r="B59" s="61" t="str">
        <x:v>2026-06-25</x:v>
      </x:c>
      <x:c r="C59" s="18" t="str">
        <x:v>19:00</x:v>
      </x:c>
      <x:c r="D59" s="18" t="str">
        <x:v>18:00</x:v>
      </x:c>
      <x:c r="E59" s="18" t="str">
        <x:v>Group</x:v>
      </x:c>
      <x:c r="F59" s="18" t="str">
        <x:v>F</x:v>
      </x:c>
      <x:c r="G59" s="18" t="str">
        <x:v>Tunisia</x:v>
      </x:c>
      <x:c r="H59" s="18" t="str">
        <x:v>Netherlands</x:v>
      </x:c>
      <x:c r="I59" s="63"/>
      <x:c r="J59" s="63"/>
      <x:c r="K59" s="18"/>
      <x:c r="L59" s="65"/>
      <x:c r="M59" s="18" t="str">
        <x:v>Arrowhead Stadium</x:v>
      </x:c>
      <x:c r="N59" s="18" t="str">
        <x:v>Kansas City</x:v>
      </x:c>
      <x:c r="O59" s="18" t="str">
        <x:f>G59&amp;" vs "&amp;H59</x:f>
        <x:v>Tunisia vs Netherlands</x:v>
      </x:c>
      <x:c r="P59" s="60" t="n">
        <x:v>46198.958333333336</x:v>
      </x:c>
      <x:c r="Q59" s="18" t="str">
        <x:f>IF(K59="","Awaiting result","Final")</x:f>
        <x:v>Awaiting result</x:v>
      </x:c>
    </x:row>
    <x:row r="60">
      <x:c r="A60" s="18" t="n">
        <x:v>59</x:v>
      </x:c>
      <x:c r="B60" s="61" t="str">
        <x:v>2026-06-25</x:v>
      </x:c>
      <x:c r="C60" s="18" t="str">
        <x:v>22:00</x:v>
      </x:c>
      <x:c r="D60" s="18" t="str">
        <x:v>19:00</x:v>
      </x:c>
      <x:c r="E60" s="18" t="str">
        <x:v>Group</x:v>
      </x:c>
      <x:c r="F60" s="18" t="str">
        <x:v>D</x:v>
      </x:c>
      <x:c r="G60" s="18" t="str">
        <x:v>Türkiye</x:v>
      </x:c>
      <x:c r="H60" s="18" t="str">
        <x:v>USA</x:v>
      </x:c>
      <x:c r="I60" s="63"/>
      <x:c r="J60" s="63"/>
      <x:c r="K60" s="18"/>
      <x:c r="L60" s="65"/>
      <x:c r="M60" s="18" t="str">
        <x:v>SoFi Stadium</x:v>
      </x:c>
      <x:c r="N60" s="18" t="str">
        <x:v>Los Angeles</x:v>
      </x:c>
      <x:c r="O60" s="18" t="str">
        <x:f>G60&amp;" vs "&amp;H60</x:f>
        <x:v>Türkiye vs USA</x:v>
      </x:c>
      <x:c r="P60" s="60" t="n">
        <x:v>46199</x:v>
      </x:c>
      <x:c r="Q60" s="18" t="str">
        <x:f>IF(K60="","Awaiting result","Final")</x:f>
        <x:v>Awaiting result</x:v>
      </x:c>
    </x:row>
    <x:row r="61">
      <x:c r="A61" s="18" t="n">
        <x:v>60</x:v>
      </x:c>
      <x:c r="B61" s="61" t="str">
        <x:v>2026-06-25</x:v>
      </x:c>
      <x:c r="C61" s="18" t="str">
        <x:v>22:00</x:v>
      </x:c>
      <x:c r="D61" s="18" t="str">
        <x:v>19:00</x:v>
      </x:c>
      <x:c r="E61" s="18" t="str">
        <x:v>Group</x:v>
      </x:c>
      <x:c r="F61" s="18" t="str">
        <x:v>D</x:v>
      </x:c>
      <x:c r="G61" s="18" t="str">
        <x:v>Paraguay</x:v>
      </x:c>
      <x:c r="H61" s="18" t="str">
        <x:v>Australia</x:v>
      </x:c>
      <x:c r="I61" s="63"/>
      <x:c r="J61" s="63"/>
      <x:c r="K61" s="18"/>
      <x:c r="L61" s="65"/>
      <x:c r="M61" s="18" t="str">
        <x:v>Levi's Stadium</x:v>
      </x:c>
      <x:c r="N61" s="18" t="str">
        <x:v>San Francisco Bay Area</x:v>
      </x:c>
      <x:c r="O61" s="18" t="str">
        <x:f>G61&amp;" vs "&amp;H61</x:f>
        <x:v>Paraguay vs Australia</x:v>
      </x:c>
      <x:c r="P61" s="60" t="n">
        <x:v>46199</x:v>
      </x:c>
      <x:c r="Q61" s="18" t="str">
        <x:f>IF(K61="","Awaiting result","Final")</x:f>
        <x:v>Awaiting result</x:v>
      </x:c>
    </x:row>
    <x:row r="62">
      <x:c r="A62" s="18" t="n">
        <x:v>61</x:v>
      </x:c>
      <x:c r="B62" s="61" t="str">
        <x:v>2026-06-26</x:v>
      </x:c>
      <x:c r="C62" s="18" t="str">
        <x:v>15:00</x:v>
      </x:c>
      <x:c r="D62" s="18" t="str">
        <x:v>15:00</x:v>
      </x:c>
      <x:c r="E62" s="18" t="str">
        <x:v>Group</x:v>
      </x:c>
      <x:c r="F62" s="18" t="str">
        <x:v>I</x:v>
      </x:c>
      <x:c r="G62" s="18" t="str">
        <x:v>Norway</x:v>
      </x:c>
      <x:c r="H62" s="18" t="str">
        <x:v>France</x:v>
      </x:c>
      <x:c r="I62" s="63"/>
      <x:c r="J62" s="63"/>
      <x:c r="K62" s="18"/>
      <x:c r="L62" s="65"/>
      <x:c r="M62" s="18" t="str">
        <x:v>Gillette Stadium</x:v>
      </x:c>
      <x:c r="N62" s="18" t="str">
        <x:v>Boston</x:v>
      </x:c>
      <x:c r="O62" s="18" t="str">
        <x:f>G62&amp;" vs "&amp;H62</x:f>
        <x:v>Norway vs France</x:v>
      </x:c>
      <x:c r="P62" s="60" t="n">
        <x:v>46199.833333333336</x:v>
      </x:c>
      <x:c r="Q62" s="18" t="str">
        <x:f>IF(K62="","Awaiting result","Final")</x:f>
        <x:v>Awaiting result</x:v>
      </x:c>
    </x:row>
    <x:row r="63">
      <x:c r="A63" s="18" t="n">
        <x:v>62</x:v>
      </x:c>
      <x:c r="B63" s="61" t="str">
        <x:v>2026-06-26</x:v>
      </x:c>
      <x:c r="C63" s="18" t="str">
        <x:v>15:00</x:v>
      </x:c>
      <x:c r="D63" s="18" t="str">
        <x:v>15:00</x:v>
      </x:c>
      <x:c r="E63" s="18" t="str">
        <x:v>Group</x:v>
      </x:c>
      <x:c r="F63" s="18" t="str">
        <x:v>I</x:v>
      </x:c>
      <x:c r="G63" s="18" t="str">
        <x:v>Senegal</x:v>
      </x:c>
      <x:c r="H63" s="18" t="str">
        <x:v>Iraq</x:v>
      </x:c>
      <x:c r="I63" s="63"/>
      <x:c r="J63" s="63"/>
      <x:c r="K63" s="18"/>
      <x:c r="L63" s="65"/>
      <x:c r="M63" s="18" t="str">
        <x:v>BMO Field</x:v>
      </x:c>
      <x:c r="N63" s="18" t="str">
        <x:v>Toronto</x:v>
      </x:c>
      <x:c r="O63" s="18" t="str">
        <x:f>G63&amp;" vs "&amp;H63</x:f>
        <x:v>Senegal vs Iraq</x:v>
      </x:c>
      <x:c r="P63" s="60" t="n">
        <x:v>46199.833333333336</x:v>
      </x:c>
      <x:c r="Q63" s="18" t="str">
        <x:f>IF(K63="","Awaiting result","Final")</x:f>
        <x:v>Awaiting result</x:v>
      </x:c>
    </x:row>
    <x:row r="64">
      <x:c r="A64" s="18" t="n">
        <x:v>63</x:v>
      </x:c>
      <x:c r="B64" s="61" t="str">
        <x:v>2026-06-26</x:v>
      </x:c>
      <x:c r="C64" s="18" t="str">
        <x:v>23:00</x:v>
      </x:c>
      <x:c r="D64" s="18" t="str">
        <x:v>20:00</x:v>
      </x:c>
      <x:c r="E64" s="18" t="str">
        <x:v>Group</x:v>
      </x:c>
      <x:c r="F64" s="18" t="str">
        <x:v>G</x:v>
      </x:c>
      <x:c r="G64" s="18" t="str">
        <x:v>Egypt</x:v>
      </x:c>
      <x:c r="H64" s="18" t="str">
        <x:v>Iran</x:v>
      </x:c>
      <x:c r="I64" s="63"/>
      <x:c r="J64" s="63"/>
      <x:c r="K64" s="18"/>
      <x:c r="L64" s="65"/>
      <x:c r="M64" s="18" t="str">
        <x:v>Lumen Field</x:v>
      </x:c>
      <x:c r="N64" s="18" t="str">
        <x:v>Seattle</x:v>
      </x:c>
      <x:c r="O64" s="18" t="str">
        <x:f>G64&amp;" vs "&amp;H64</x:f>
        <x:v>Egypt vs Iran</x:v>
      </x:c>
      <x:c r="P64" s="60" t="n">
        <x:v>46200.041666666664</x:v>
      </x:c>
      <x:c r="Q64" s="18" t="str">
        <x:f>IF(K64="","Awaiting result","Final")</x:f>
        <x:v>Awaiting result</x:v>
      </x:c>
    </x:row>
    <x:row r="65">
      <x:c r="A65" s="18" t="n">
        <x:v>64</x:v>
      </x:c>
      <x:c r="B65" s="61" t="str">
        <x:v>2026-06-26</x:v>
      </x:c>
      <x:c r="C65" s="18" t="str">
        <x:v>23:00</x:v>
      </x:c>
      <x:c r="D65" s="18" t="str">
        <x:v>20:00</x:v>
      </x:c>
      <x:c r="E65" s="18" t="str">
        <x:v>Group</x:v>
      </x:c>
      <x:c r="F65" s="18" t="str">
        <x:v>G</x:v>
      </x:c>
      <x:c r="G65" s="18" t="str">
        <x:v>New Zealand</x:v>
      </x:c>
      <x:c r="H65" s="18" t="str">
        <x:v>Belgium</x:v>
      </x:c>
      <x:c r="I65" s="63"/>
      <x:c r="J65" s="63"/>
      <x:c r="K65" s="18"/>
      <x:c r="L65" s="65"/>
      <x:c r="M65" s="18" t="str">
        <x:v>BC Place</x:v>
      </x:c>
      <x:c r="N65" s="18" t="str">
        <x:v>Vancouver</x:v>
      </x:c>
      <x:c r="O65" s="18" t="str">
        <x:f>G65&amp;" vs "&amp;H65</x:f>
        <x:v>New Zealand vs Belgium</x:v>
      </x:c>
      <x:c r="P65" s="60" t="n">
        <x:v>46200.041666666664</x:v>
      </x:c>
      <x:c r="Q65" s="18" t="str">
        <x:f>IF(K65="","Awaiting result","Final")</x:f>
        <x:v>Awaiting result</x:v>
      </x:c>
    </x:row>
    <x:row r="66">
      <x:c r="A66" s="18" t="n">
        <x:v>65</x:v>
      </x:c>
      <x:c r="B66" s="61" t="str">
        <x:v>2026-06-26</x:v>
      </x:c>
      <x:c r="C66" s="18" t="str">
        <x:v>20:00</x:v>
      </x:c>
      <x:c r="D66" s="18" t="str">
        <x:v>19:00</x:v>
      </x:c>
      <x:c r="E66" s="18" t="str">
        <x:v>Group</x:v>
      </x:c>
      <x:c r="F66" s="18" t="str">
        <x:v>H</x:v>
      </x:c>
      <x:c r="G66" s="18" t="str">
        <x:v>Cape Verde</x:v>
      </x:c>
      <x:c r="H66" s="18" t="str">
        <x:v>Saudi Arabia</x:v>
      </x:c>
      <x:c r="I66" s="63"/>
      <x:c r="J66" s="63"/>
      <x:c r="K66" s="18"/>
      <x:c r="L66" s="65"/>
      <x:c r="M66" s="18" t="str">
        <x:v>NRG Stadium</x:v>
      </x:c>
      <x:c r="N66" s="18" t="str">
        <x:v>Houston</x:v>
      </x:c>
      <x:c r="O66" s="18" t="str">
        <x:f>G66&amp;" vs "&amp;H66</x:f>
        <x:v>Cape Verde vs Saudi Arabia</x:v>
      </x:c>
      <x:c r="P66" s="60" t="n">
        <x:v>46200</x:v>
      </x:c>
      <x:c r="Q66" s="18" t="str">
        <x:f>IF(K66="","Awaiting result","Final")</x:f>
        <x:v>Awaiting result</x:v>
      </x:c>
    </x:row>
    <x:row r="67">
      <x:c r="A67" s="18" t="n">
        <x:v>66</x:v>
      </x:c>
      <x:c r="B67" s="61" t="str">
        <x:v>2026-06-26</x:v>
      </x:c>
      <x:c r="C67" s="18" t="str">
        <x:v>20:00</x:v>
      </x:c>
      <x:c r="D67" s="18" t="str">
        <x:v>18:00</x:v>
      </x:c>
      <x:c r="E67" s="18" t="str">
        <x:v>Group</x:v>
      </x:c>
      <x:c r="F67" s="18" t="str">
        <x:v>H</x:v>
      </x:c>
      <x:c r="G67" s="18" t="str">
        <x:v>Uruguay</x:v>
      </x:c>
      <x:c r="H67" s="18" t="str">
        <x:v>Spain</x:v>
      </x:c>
      <x:c r="I67" s="63"/>
      <x:c r="J67" s="63"/>
      <x:c r="K67" s="18"/>
      <x:c r="L67" s="65"/>
      <x:c r="M67" s="18" t="str">
        <x:v>Estadio Akron</x:v>
      </x:c>
      <x:c r="N67" s="18" t="str">
        <x:v>Guadalajara</x:v>
      </x:c>
      <x:c r="O67" s="18" t="str">
        <x:f>G67&amp;" vs "&amp;H67</x:f>
        <x:v>Uruguay vs Spain</x:v>
      </x:c>
      <x:c r="P67" s="60" t="n">
        <x:v>46199.958333333336</x:v>
      </x:c>
      <x:c r="Q67" s="18" t="str">
        <x:f>IF(K67="","Awaiting result","Final")</x:f>
        <x:v>Awaiting result</x:v>
      </x:c>
    </x:row>
    <x:row r="68">
      <x:c r="A68" s="18" t="n">
        <x:v>67</x:v>
      </x:c>
      <x:c r="B68" s="61" t="str">
        <x:v>2026-06-27</x:v>
      </x:c>
      <x:c r="C68" s="18" t="str">
        <x:v>17:00</x:v>
      </x:c>
      <x:c r="D68" s="18" t="str">
        <x:v>17:00</x:v>
      </x:c>
      <x:c r="E68" s="18" t="str">
        <x:v>Group</x:v>
      </x:c>
      <x:c r="F68" s="18" t="str">
        <x:v>L</x:v>
      </x:c>
      <x:c r="G68" s="18" t="str">
        <x:v>Panama</x:v>
      </x:c>
      <x:c r="H68" s="18" t="str">
        <x:v>England</x:v>
      </x:c>
      <x:c r="I68" s="63"/>
      <x:c r="J68" s="63"/>
      <x:c r="K68" s="18"/>
      <x:c r="L68" s="65"/>
      <x:c r="M68" s="18" t="str">
        <x:v>MetLife Stadium</x:v>
      </x:c>
      <x:c r="N68" s="18" t="str">
        <x:v>New York/New Jersey</x:v>
      </x:c>
      <x:c r="O68" s="18" t="str">
        <x:f>G68&amp;" vs "&amp;H68</x:f>
        <x:v>Panama vs England</x:v>
      </x:c>
      <x:c r="P68" s="60" t="n">
        <x:v>46200.916666666664</x:v>
      </x:c>
      <x:c r="Q68" s="18" t="str">
        <x:f>IF(K68="","Awaiting result","Final")</x:f>
        <x:v>Awaiting result</x:v>
      </x:c>
    </x:row>
    <x:row r="69">
      <x:c r="A69" s="18" t="n">
        <x:v>68</x:v>
      </x:c>
      <x:c r="B69" s="61" t="str">
        <x:v>2026-06-27</x:v>
      </x:c>
      <x:c r="C69" s="18" t="str">
        <x:v>17:00</x:v>
      </x:c>
      <x:c r="D69" s="18" t="str">
        <x:v>17:00</x:v>
      </x:c>
      <x:c r="E69" s="18" t="str">
        <x:v>Group</x:v>
      </x:c>
      <x:c r="F69" s="18" t="str">
        <x:v>L</x:v>
      </x:c>
      <x:c r="G69" s="18" t="str">
        <x:v>Croatia</x:v>
      </x:c>
      <x:c r="H69" s="18" t="str">
        <x:v>Ghana</x:v>
      </x:c>
      <x:c r="I69" s="63"/>
      <x:c r="J69" s="63"/>
      <x:c r="K69" s="18"/>
      <x:c r="L69" s="65"/>
      <x:c r="M69" s="18" t="str">
        <x:v>Lincoln Financial Field</x:v>
      </x:c>
      <x:c r="N69" s="18" t="str">
        <x:v>Philadelphia</x:v>
      </x:c>
      <x:c r="O69" s="18" t="str">
        <x:f>G69&amp;" vs "&amp;H69</x:f>
        <x:v>Croatia vs Ghana</x:v>
      </x:c>
      <x:c r="P69" s="60" t="n">
        <x:v>46200.916666666664</x:v>
      </x:c>
      <x:c r="Q69" s="18" t="str">
        <x:f>IF(K69="","Awaiting result","Final")</x:f>
        <x:v>Awaiting result</x:v>
      </x:c>
    </x:row>
    <x:row r="70">
      <x:c r="A70" s="18" t="n">
        <x:v>69</x:v>
      </x:c>
      <x:c r="B70" s="61" t="str">
        <x:v>2026-06-27</x:v>
      </x:c>
      <x:c r="C70" s="18" t="str">
        <x:v>22:00</x:v>
      </x:c>
      <x:c r="D70" s="18" t="str">
        <x:v>21:00</x:v>
      </x:c>
      <x:c r="E70" s="18" t="str">
        <x:v>Group</x:v>
      </x:c>
      <x:c r="F70" s="18" t="str">
        <x:v>J</x:v>
      </x:c>
      <x:c r="G70" s="18" t="str">
        <x:v>Algeria</x:v>
      </x:c>
      <x:c r="H70" s="18" t="str">
        <x:v>Austria</x:v>
      </x:c>
      <x:c r="I70" s="63"/>
      <x:c r="J70" s="63"/>
      <x:c r="K70" s="18"/>
      <x:c r="L70" s="65"/>
      <x:c r="M70" s="18" t="str">
        <x:v>Arrowhead Stadium</x:v>
      </x:c>
      <x:c r="N70" s="18" t="str">
        <x:v>Kansas City</x:v>
      </x:c>
      <x:c r="O70" s="18" t="str">
        <x:f>G70&amp;" vs "&amp;H70</x:f>
        <x:v>Algeria vs Austria</x:v>
      </x:c>
      <x:c r="P70" s="60" t="n">
        <x:v>46201.083333333336</x:v>
      </x:c>
      <x:c r="Q70" s="18" t="str">
        <x:f>IF(K70="","Awaiting result","Final")</x:f>
        <x:v>Awaiting result</x:v>
      </x:c>
    </x:row>
    <x:row r="71">
      <x:c r="A71" s="18" t="n">
        <x:v>70</x:v>
      </x:c>
      <x:c r="B71" s="61" t="str">
        <x:v>2026-06-27</x:v>
      </x:c>
      <x:c r="C71" s="18" t="str">
        <x:v>22:00</x:v>
      </x:c>
      <x:c r="D71" s="18" t="str">
        <x:v>21:00</x:v>
      </x:c>
      <x:c r="E71" s="18" t="str">
        <x:v>Group</x:v>
      </x:c>
      <x:c r="F71" s="18" t="str">
        <x:v>J</x:v>
      </x:c>
      <x:c r="G71" s="18" t="str">
        <x:v>Jordan</x:v>
      </x:c>
      <x:c r="H71" s="18" t="str">
        <x:v>Argentina</x:v>
      </x:c>
      <x:c r="I71" s="63"/>
      <x:c r="J71" s="63"/>
      <x:c r="K71" s="18"/>
      <x:c r="L71" s="65"/>
      <x:c r="M71" s="18" t="str">
        <x:v>AT&amp;T Stadium</x:v>
      </x:c>
      <x:c r="N71" s="18" t="str">
        <x:v>Dallas</x:v>
      </x:c>
      <x:c r="O71" s="18" t="str">
        <x:f>G71&amp;" vs "&amp;H71</x:f>
        <x:v>Jordan vs Argentina</x:v>
      </x:c>
      <x:c r="P71" s="60" t="n">
        <x:v>46201.083333333336</x:v>
      </x:c>
      <x:c r="Q71" s="18" t="str">
        <x:f>IF(K71="","Awaiting result","Final")</x:f>
        <x:v>Awaiting result</x:v>
      </x:c>
    </x:row>
    <x:row r="72">
      <x:c r="A72" s="18" t="n">
        <x:v>71</x:v>
      </x:c>
      <x:c r="B72" s="61" t="str">
        <x:v>2026-06-27</x:v>
      </x:c>
      <x:c r="C72" s="18" t="str">
        <x:v>19:30</x:v>
      </x:c>
      <x:c r="D72" s="18" t="str">
        <x:v>19:30</x:v>
      </x:c>
      <x:c r="E72" s="18" t="str">
        <x:v>Group</x:v>
      </x:c>
      <x:c r="F72" s="18" t="str">
        <x:v>K</x:v>
      </x:c>
      <x:c r="G72" s="18" t="str">
        <x:v>Colombia</x:v>
      </x:c>
      <x:c r="H72" s="18" t="str">
        <x:v>Portugal</x:v>
      </x:c>
      <x:c r="I72" s="63"/>
      <x:c r="J72" s="63"/>
      <x:c r="K72" s="18"/>
      <x:c r="L72" s="65"/>
      <x:c r="M72" s="18" t="str">
        <x:v>Hard Rock Stadium</x:v>
      </x:c>
      <x:c r="N72" s="18" t="str">
        <x:v>Miami</x:v>
      </x:c>
      <x:c r="O72" s="18" t="str">
        <x:f>G72&amp;" vs "&amp;H72</x:f>
        <x:v>Colombia vs Portugal</x:v>
      </x:c>
      <x:c r="P72" s="60" t="n">
        <x:v>46201.020833333336</x:v>
      </x:c>
      <x:c r="Q72" s="18" t="str">
        <x:f>IF(K72="","Awaiting result","Final")</x:f>
        <x:v>Awaiting result</x:v>
      </x:c>
    </x:row>
    <x:row r="73">
      <x:c r="A73" s="18" t="n">
        <x:v>72</x:v>
      </x:c>
      <x:c r="B73" s="61" t="str">
        <x:v>2026-06-27</x:v>
      </x:c>
      <x:c r="C73" s="18" t="str">
        <x:v>19:30</x:v>
      </x:c>
      <x:c r="D73" s="18" t="str">
        <x:v>19:30</x:v>
      </x:c>
      <x:c r="E73" s="18" t="str">
        <x:v>Group</x:v>
      </x:c>
      <x:c r="F73" s="18" t="str">
        <x:v>K</x:v>
      </x:c>
      <x:c r="G73" s="18" t="str">
        <x:v>Congo DR</x:v>
      </x:c>
      <x:c r="H73" s="18" t="str">
        <x:v>Uzbekistan</x:v>
      </x:c>
      <x:c r="I73" s="63"/>
      <x:c r="J73" s="63"/>
      <x:c r="K73" s="18"/>
      <x:c r="L73" s="65"/>
      <x:c r="M73" s="18" t="str">
        <x:v>Mercedes-Benz Stadium</x:v>
      </x:c>
      <x:c r="N73" s="18" t="str">
        <x:v>Atlanta</x:v>
      </x:c>
      <x:c r="O73" s="18" t="str">
        <x:f>G73&amp;" vs "&amp;H73</x:f>
        <x:v>Congo DR vs Uzbekistan</x:v>
      </x:c>
      <x:c r="P73" s="60" t="n">
        <x:v>46201.020833333336</x:v>
      </x:c>
      <x:c r="Q73" s="18" t="str">
        <x:f>IF(K73="","Awaiting result","Final")</x:f>
        <x:v>Awaiting result</x:v>
      </x:c>
    </x:row>
    <x:row r="74">
      <x:c r="A74" s="18" t="n">
        <x:v>73</x:v>
      </x:c>
      <x:c r="B74" s="61" t="str">
        <x:v>2026-06-28</x:v>
      </x:c>
      <x:c r="C74" s="18" t="str">
        <x:v>15:00</x:v>
      </x:c>
      <x:c r="D74" s="18" t="str">
        <x:v>12:00</x:v>
      </x:c>
      <x:c r="E74" s="18" t="str">
        <x:v>Round of 32</x:v>
      </x:c>
      <x:c r="F74" s="18"/>
      <x:c r="G74" s="18" t="str">
        <x:v>Group A Runner-Up</x:v>
      </x:c>
      <x:c r="H74" s="18" t="str">
        <x:v>Group B Runner-Up</x:v>
      </x:c>
      <x:c r="I74" s="63"/>
      <x:c r="J74" s="63"/>
      <x:c r="K74" s="18"/>
      <x:c r="L74" s="65"/>
      <x:c r="M74" s="18" t="str">
        <x:v>SoFi Stadium</x:v>
      </x:c>
      <x:c r="N74" s="18" t="str">
        <x:v>Los Angeles</x:v>
      </x:c>
      <x:c r="O74" s="18" t="str">
        <x:f>G74&amp;" vs "&amp;H74</x:f>
        <x:v>Group A Runner-Up vs Group B Runner-Up</x:v>
      </x:c>
      <x:c r="P74" s="60" t="n">
        <x:v>46201.708333333336</x:v>
      </x:c>
      <x:c r="Q74" s="18" t="str">
        <x:f>IF(K74="","Awaiting result","Final")</x:f>
        <x:v>Awaiting result</x:v>
      </x:c>
    </x:row>
    <x:row r="75">
      <x:c r="A75" s="18" t="n">
        <x:v>74</x:v>
      </x:c>
      <x:c r="B75" s="61" t="str">
        <x:v>2026-06-29</x:v>
      </x:c>
      <x:c r="C75" s="18" t="str">
        <x:v>16:30</x:v>
      </x:c>
      <x:c r="D75" s="18" t="str">
        <x:v>16:30</x:v>
      </x:c>
      <x:c r="E75" s="18" t="str">
        <x:v>Round of 32</x:v>
      </x:c>
      <x:c r="F75" s="18"/>
      <x:c r="G75" s="18" t="str">
        <x:v>Group E Winner</x:v>
      </x:c>
      <x:c r="H75" s="18" t="str">
        <x:v>Group A/B/C/D/F 3rd Place</x:v>
      </x:c>
      <x:c r="I75" s="63"/>
      <x:c r="J75" s="63"/>
      <x:c r="K75" s="18"/>
      <x:c r="L75" s="65"/>
      <x:c r="M75" s="18" t="str">
        <x:v>Gillette Stadium</x:v>
      </x:c>
      <x:c r="N75" s="18" t="str">
        <x:v>Boston</x:v>
      </x:c>
      <x:c r="O75" s="18" t="str">
        <x:f>G75&amp;" vs "&amp;H75</x:f>
        <x:v>Group E Winner vs Group A/B/C/D/F 3rd Place</x:v>
      </x:c>
      <x:c r="P75" s="60" t="n">
        <x:v>46202.895833333336</x:v>
      </x:c>
      <x:c r="Q75" s="18" t="str">
        <x:f>IF(K75="","Awaiting result","Final")</x:f>
        <x:v>Awaiting result</x:v>
      </x:c>
    </x:row>
    <x:row r="76">
      <x:c r="A76" s="18" t="n">
        <x:v>75</x:v>
      </x:c>
      <x:c r="B76" s="61" t="str">
        <x:v>2026-06-29</x:v>
      </x:c>
      <x:c r="C76" s="18" t="str">
        <x:v>21:00</x:v>
      </x:c>
      <x:c r="D76" s="18" t="str">
        <x:v>19:00</x:v>
      </x:c>
      <x:c r="E76" s="18" t="str">
        <x:v>Round of 32</x:v>
      </x:c>
      <x:c r="F76" s="18"/>
      <x:c r="G76" s="18" t="str">
        <x:v>Group F Winner</x:v>
      </x:c>
      <x:c r="H76" s="18" t="str">
        <x:v>Group C Runner-Up</x:v>
      </x:c>
      <x:c r="I76" s="63"/>
      <x:c r="J76" s="63"/>
      <x:c r="K76" s="18"/>
      <x:c r="L76" s="65"/>
      <x:c r="M76" s="18" t="str">
        <x:v>Estadio BBVA</x:v>
      </x:c>
      <x:c r="N76" s="18" t="str">
        <x:v>Monterrey</x:v>
      </x:c>
      <x:c r="O76" s="18" t="str">
        <x:f>G76&amp;" vs "&amp;H76</x:f>
        <x:v>Group F Winner vs Group C Runner-Up</x:v>
      </x:c>
      <x:c r="P76" s="60" t="n">
        <x:v>46203</x:v>
      </x:c>
      <x:c r="Q76" s="18" t="str">
        <x:f>IF(K76="","Awaiting result","Final")</x:f>
        <x:v>Awaiting result</x:v>
      </x:c>
    </x:row>
    <x:row r="77">
      <x:c r="A77" s="18" t="n">
        <x:v>76</x:v>
      </x:c>
      <x:c r="B77" s="61" t="str">
        <x:v>2026-06-29</x:v>
      </x:c>
      <x:c r="C77" s="18" t="str">
        <x:v>13:00</x:v>
      </x:c>
      <x:c r="D77" s="18" t="str">
        <x:v>12:00</x:v>
      </x:c>
      <x:c r="E77" s="18" t="str">
        <x:v>Round of 32</x:v>
      </x:c>
      <x:c r="F77" s="18"/>
      <x:c r="G77" s="18" t="str">
        <x:v>Group C Winner</x:v>
      </x:c>
      <x:c r="H77" s="18" t="str">
        <x:v>Group F Runner-Up</x:v>
      </x:c>
      <x:c r="I77" s="63"/>
      <x:c r="J77" s="63"/>
      <x:c r="K77" s="18"/>
      <x:c r="L77" s="65"/>
      <x:c r="M77" s="18" t="str">
        <x:v>NRG Stadium</x:v>
      </x:c>
      <x:c r="N77" s="18" t="str">
        <x:v>Houston</x:v>
      </x:c>
      <x:c r="O77" s="18" t="str">
        <x:f>G77&amp;" vs "&amp;H77</x:f>
        <x:v>Group C Winner vs Group F Runner-Up</x:v>
      </x:c>
      <x:c r="P77" s="60" t="n">
        <x:v>46202.708333333336</x:v>
      </x:c>
      <x:c r="Q77" s="18" t="str">
        <x:f>IF(K77="","Awaiting result","Final")</x:f>
        <x:v>Awaiting result</x:v>
      </x:c>
    </x:row>
    <x:row r="78">
      <x:c r="A78" s="18" t="n">
        <x:v>77</x:v>
      </x:c>
      <x:c r="B78" s="61" t="str">
        <x:v>2026-06-30</x:v>
      </x:c>
      <x:c r="C78" s="18" t="str">
        <x:v>17:00</x:v>
      </x:c>
      <x:c r="D78" s="18" t="str">
        <x:v>17:00</x:v>
      </x:c>
      <x:c r="E78" s="18" t="str">
        <x:v>Round of 32</x:v>
      </x:c>
      <x:c r="F78" s="18"/>
      <x:c r="G78" s="18" t="str">
        <x:v>Group I Winner</x:v>
      </x:c>
      <x:c r="H78" s="18" t="str">
        <x:v>Group C/D/F/G/H 3rd Place</x:v>
      </x:c>
      <x:c r="I78" s="63"/>
      <x:c r="J78" s="63"/>
      <x:c r="K78" s="18"/>
      <x:c r="L78" s="65"/>
      <x:c r="M78" s="18" t="str">
        <x:v>MetLife Stadium</x:v>
      </x:c>
      <x:c r="N78" s="18" t="str">
        <x:v>New York/New Jersey</x:v>
      </x:c>
      <x:c r="O78" s="18" t="str">
        <x:f>G78&amp;" vs "&amp;H78</x:f>
        <x:v>Group I Winner vs Group C/D/F/G/H 3rd Place</x:v>
      </x:c>
      <x:c r="P78" s="60" t="n">
        <x:v>46203.916666666664</x:v>
      </x:c>
      <x:c r="Q78" s="18" t="str">
        <x:f>IF(K78="","Awaiting result","Final")</x:f>
        <x:v>Awaiting result</x:v>
      </x:c>
    </x:row>
    <x:row r="79">
      <x:c r="A79" s="18" t="n">
        <x:v>78</x:v>
      </x:c>
      <x:c r="B79" s="61" t="str">
        <x:v>2026-06-30</x:v>
      </x:c>
      <x:c r="C79" s="18" t="str">
        <x:v>13:00</x:v>
      </x:c>
      <x:c r="D79" s="18" t="str">
        <x:v>12:00</x:v>
      </x:c>
      <x:c r="E79" s="18" t="str">
        <x:v>Round of 32</x:v>
      </x:c>
      <x:c r="F79" s="18"/>
      <x:c r="G79" s="18" t="str">
        <x:v>Group E Runner-Up</x:v>
      </x:c>
      <x:c r="H79" s="18" t="str">
        <x:v>Group I Runner-Up</x:v>
      </x:c>
      <x:c r="I79" s="63"/>
      <x:c r="J79" s="63"/>
      <x:c r="K79" s="18"/>
      <x:c r="L79" s="65"/>
      <x:c r="M79" s="18" t="str">
        <x:v>AT&amp;T Stadium</x:v>
      </x:c>
      <x:c r="N79" s="18" t="str">
        <x:v>Dallas</x:v>
      </x:c>
      <x:c r="O79" s="18" t="str">
        <x:f>G79&amp;" vs "&amp;H79</x:f>
        <x:v>Group E Runner-Up vs Group I Runner-Up</x:v>
      </x:c>
      <x:c r="P79" s="60" t="n">
        <x:v>46203.708333333336</x:v>
      </x:c>
      <x:c r="Q79" s="18" t="str">
        <x:f>IF(K79="","Awaiting result","Final")</x:f>
        <x:v>Awaiting result</x:v>
      </x:c>
    </x:row>
    <x:row r="80">
      <x:c r="A80" s="18" t="n">
        <x:v>79</x:v>
      </x:c>
      <x:c r="B80" s="61" t="str">
        <x:v>2026-06-30</x:v>
      </x:c>
      <x:c r="C80" s="18" t="str">
        <x:v>21:00</x:v>
      </x:c>
      <x:c r="D80" s="18" t="str">
        <x:v>19:00</x:v>
      </x:c>
      <x:c r="E80" s="18" t="str">
        <x:v>Round of 32</x:v>
      </x:c>
      <x:c r="F80" s="18"/>
      <x:c r="G80" s="18" t="str">
        <x:v>Group A Winner</x:v>
      </x:c>
      <x:c r="H80" s="18" t="str">
        <x:v>Group C/E/F/H/I 3rd Place</x:v>
      </x:c>
      <x:c r="I80" s="63"/>
      <x:c r="J80" s="63"/>
      <x:c r="K80" s="18"/>
      <x:c r="L80" s="65"/>
      <x:c r="M80" s="18" t="str">
        <x:v>Estadio Azteca</x:v>
      </x:c>
      <x:c r="N80" s="18" t="str">
        <x:v>Mexico City</x:v>
      </x:c>
      <x:c r="O80" s="18" t="str">
        <x:f>G80&amp;" vs "&amp;H80</x:f>
        <x:v>Group A Winner vs Group C/E/F/H/I 3rd Place</x:v>
      </x:c>
      <x:c r="P80" s="60" t="n">
        <x:v>46204</x:v>
      </x:c>
      <x:c r="Q80" s="18" t="str">
        <x:f>IF(K80="","Awaiting result","Final")</x:f>
        <x:v>Awaiting result</x:v>
      </x:c>
    </x:row>
    <x:row r="81">
      <x:c r="A81" s="18" t="n">
        <x:v>80</x:v>
      </x:c>
      <x:c r="B81" s="61" t="str">
        <x:v>2026-07-01</x:v>
      </x:c>
      <x:c r="C81" s="18" t="str">
        <x:v>12:00</x:v>
      </x:c>
      <x:c r="D81" s="18" t="str">
        <x:v>12:00</x:v>
      </x:c>
      <x:c r="E81" s="18" t="str">
        <x:v>Round of 32</x:v>
      </x:c>
      <x:c r="F81" s="18"/>
      <x:c r="G81" s="18" t="str">
        <x:v>Group L Winner</x:v>
      </x:c>
      <x:c r="H81" s="18" t="str">
        <x:v>Group E/H/I/J/K 3rd Place</x:v>
      </x:c>
      <x:c r="I81" s="63"/>
      <x:c r="J81" s="63"/>
      <x:c r="K81" s="18"/>
      <x:c r="L81" s="65"/>
      <x:c r="M81" s="18" t="str">
        <x:v>Mercedes-Benz Stadium</x:v>
      </x:c>
      <x:c r="N81" s="18" t="str">
        <x:v>Atlanta</x:v>
      </x:c>
      <x:c r="O81" s="18" t="str">
        <x:f>G81&amp;" vs "&amp;H81</x:f>
        <x:v>Group L Winner vs Group E/H/I/J/K 3rd Place</x:v>
      </x:c>
      <x:c r="P81" s="60" t="n">
        <x:v>46204.708333333336</x:v>
      </x:c>
      <x:c r="Q81" s="18" t="str">
        <x:f>IF(K81="","Awaiting result","Final")</x:f>
        <x:v>Awaiting result</x:v>
      </x:c>
    </x:row>
    <x:row r="82">
      <x:c r="A82" s="18" t="n">
        <x:v>81</x:v>
      </x:c>
      <x:c r="B82" s="61" t="str">
        <x:v>2026-07-01</x:v>
      </x:c>
      <x:c r="C82" s="18" t="str">
        <x:v>20:00</x:v>
      </x:c>
      <x:c r="D82" s="18" t="str">
        <x:v>17:00</x:v>
      </x:c>
      <x:c r="E82" s="18" t="str">
        <x:v>Round of 32</x:v>
      </x:c>
      <x:c r="F82" s="18"/>
      <x:c r="G82" s="18" t="str">
        <x:v>Group D Winner</x:v>
      </x:c>
      <x:c r="H82" s="18" t="str">
        <x:v>Group B/E/F/I/J 3rd Place</x:v>
      </x:c>
      <x:c r="I82" s="63"/>
      <x:c r="J82" s="63"/>
      <x:c r="K82" s="18"/>
      <x:c r="L82" s="65"/>
      <x:c r="M82" s="18" t="str">
        <x:v>Levi's Stadium</x:v>
      </x:c>
      <x:c r="N82" s="18" t="str">
        <x:v>San Francisco Bay Area</x:v>
      </x:c>
      <x:c r="O82" s="18" t="str">
        <x:f>G82&amp;" vs "&amp;H82</x:f>
        <x:v>Group D Winner vs Group B/E/F/I/J 3rd Place</x:v>
      </x:c>
      <x:c r="P82" s="60" t="n">
        <x:v>46204.916666666664</x:v>
      </x:c>
      <x:c r="Q82" s="18" t="str">
        <x:f>IF(K82="","Awaiting result","Final")</x:f>
        <x:v>Awaiting result</x:v>
      </x:c>
    </x:row>
    <x:row r="83">
      <x:c r="A83" s="18" t="n">
        <x:v>82</x:v>
      </x:c>
      <x:c r="B83" s="61" t="str">
        <x:v>2026-07-01</x:v>
      </x:c>
      <x:c r="C83" s="18" t="str">
        <x:v>16:00</x:v>
      </x:c>
      <x:c r="D83" s="18" t="str">
        <x:v>13:00</x:v>
      </x:c>
      <x:c r="E83" s="18" t="str">
        <x:v>Round of 32</x:v>
      </x:c>
      <x:c r="F83" s="18"/>
      <x:c r="G83" s="18" t="str">
        <x:v>Group G Winner</x:v>
      </x:c>
      <x:c r="H83" s="18" t="str">
        <x:v>Group A/E/H/I/J 3rd Place</x:v>
      </x:c>
      <x:c r="I83" s="63"/>
      <x:c r="J83" s="63"/>
      <x:c r="K83" s="18"/>
      <x:c r="L83" s="65"/>
      <x:c r="M83" s="18" t="str">
        <x:v>Lumen Field</x:v>
      </x:c>
      <x:c r="N83" s="18" t="str">
        <x:v>Seattle</x:v>
      </x:c>
      <x:c r="O83" s="18" t="str">
        <x:f>G83&amp;" vs "&amp;H83</x:f>
        <x:v>Group G Winner vs Group A/E/H/I/J 3rd Place</x:v>
      </x:c>
      <x:c r="P83" s="60" t="n">
        <x:v>46204.75</x:v>
      </x:c>
      <x:c r="Q83" s="18" t="str">
        <x:f>IF(K83="","Awaiting result","Final")</x:f>
        <x:v>Awaiting result</x:v>
      </x:c>
    </x:row>
    <x:row r="84">
      <x:c r="A84" s="18" t="n">
        <x:v>83</x:v>
      </x:c>
      <x:c r="B84" s="61" t="str">
        <x:v>2026-07-02</x:v>
      </x:c>
      <x:c r="C84" s="18" t="str">
        <x:v>19:00</x:v>
      </x:c>
      <x:c r="D84" s="18" t="str">
        <x:v>19:00</x:v>
      </x:c>
      <x:c r="E84" s="18" t="str">
        <x:v>Round of 32</x:v>
      </x:c>
      <x:c r="F84" s="18"/>
      <x:c r="G84" s="18" t="str">
        <x:v>Group K Runner-Up</x:v>
      </x:c>
      <x:c r="H84" s="18" t="str">
        <x:v>Group L Runner-Up</x:v>
      </x:c>
      <x:c r="I84" s="63"/>
      <x:c r="J84" s="63"/>
      <x:c r="K84" s="18"/>
      <x:c r="L84" s="65"/>
      <x:c r="M84" s="18" t="str">
        <x:v>BMO Field</x:v>
      </x:c>
      <x:c r="N84" s="18" t="str">
        <x:v>Toronto</x:v>
      </x:c>
      <x:c r="O84" s="18" t="str">
        <x:f>G84&amp;" vs "&amp;H84</x:f>
        <x:v>Group K Runner-Up vs Group L Runner-Up</x:v>
      </x:c>
      <x:c r="P84" s="60" t="n">
        <x:v>46206</x:v>
      </x:c>
      <x:c r="Q84" s="18" t="str">
        <x:f>IF(K84="","Awaiting result","Final")</x:f>
        <x:v>Awaiting result</x:v>
      </x:c>
    </x:row>
    <x:row r="85">
      <x:c r="A85" s="18" t="n">
        <x:v>84</x:v>
      </x:c>
      <x:c r="B85" s="61" t="str">
        <x:v>2026-07-02</x:v>
      </x:c>
      <x:c r="C85" s="18" t="str">
        <x:v>15:00</x:v>
      </x:c>
      <x:c r="D85" s="18" t="str">
        <x:v>12:00</x:v>
      </x:c>
      <x:c r="E85" s="18" t="str">
        <x:v>Round of 32</x:v>
      </x:c>
      <x:c r="F85" s="18"/>
      <x:c r="G85" s="18" t="str">
        <x:v>Group H Winner</x:v>
      </x:c>
      <x:c r="H85" s="18" t="str">
        <x:v>Group J Runner-Up</x:v>
      </x:c>
      <x:c r="I85" s="63"/>
      <x:c r="J85" s="63"/>
      <x:c r="K85" s="18"/>
      <x:c r="L85" s="65"/>
      <x:c r="M85" s="18" t="str">
        <x:v>SoFi Stadium</x:v>
      </x:c>
      <x:c r="N85" s="18" t="str">
        <x:v>Los Angeles</x:v>
      </x:c>
      <x:c r="O85" s="18" t="str">
        <x:f>G85&amp;" vs "&amp;H85</x:f>
        <x:v>Group H Winner vs Group J Runner-Up</x:v>
      </x:c>
      <x:c r="P85" s="60" t="n">
        <x:v>46205.708333333336</x:v>
      </x:c>
      <x:c r="Q85" s="18" t="str">
        <x:f>IF(K85="","Awaiting result","Final")</x:f>
        <x:v>Awaiting result</x:v>
      </x:c>
    </x:row>
    <x:row r="86">
      <x:c r="A86" s="18" t="n">
        <x:v>85</x:v>
      </x:c>
      <x:c r="B86" s="61" t="str">
        <x:v>2026-07-02</x:v>
      </x:c>
      <x:c r="C86" s="18" t="str">
        <x:v>23:00</x:v>
      </x:c>
      <x:c r="D86" s="18" t="str">
        <x:v>20:00</x:v>
      </x:c>
      <x:c r="E86" s="18" t="str">
        <x:v>Round of 32</x:v>
      </x:c>
      <x:c r="F86" s="18"/>
      <x:c r="G86" s="18" t="str">
        <x:v>Group B Winner</x:v>
      </x:c>
      <x:c r="H86" s="18" t="str">
        <x:v>Group E/F/G/I/J 3rd Place</x:v>
      </x:c>
      <x:c r="I86" s="63"/>
      <x:c r="J86" s="63"/>
      <x:c r="K86" s="18"/>
      <x:c r="L86" s="65"/>
      <x:c r="M86" s="18" t="str">
        <x:v>BC Place</x:v>
      </x:c>
      <x:c r="N86" s="18" t="str">
        <x:v>Vancouver</x:v>
      </x:c>
      <x:c r="O86" s="18" t="str">
        <x:f>G86&amp;" vs "&amp;H86</x:f>
        <x:v>Group B Winner vs Group E/F/G/I/J 3rd Place</x:v>
      </x:c>
      <x:c r="P86" s="60" t="n">
        <x:v>46206.041666666664</x:v>
      </x:c>
      <x:c r="Q86" s="18" t="str">
        <x:f>IF(K86="","Awaiting result","Final")</x:f>
        <x:v>Awaiting result</x:v>
      </x:c>
    </x:row>
    <x:row r="87">
      <x:c r="A87" s="18" t="n">
        <x:v>86</x:v>
      </x:c>
      <x:c r="B87" s="61" t="str">
        <x:v>2026-07-03</x:v>
      </x:c>
      <x:c r="C87" s="18" t="str">
        <x:v>18:00</x:v>
      </x:c>
      <x:c r="D87" s="18" t="str">
        <x:v>18:00</x:v>
      </x:c>
      <x:c r="E87" s="18" t="str">
        <x:v>Round of 32</x:v>
      </x:c>
      <x:c r="F87" s="18"/>
      <x:c r="G87" s="18" t="str">
        <x:v>Group J Winner</x:v>
      </x:c>
      <x:c r="H87" s="18" t="str">
        <x:v>Group H Runner-Up</x:v>
      </x:c>
      <x:c r="I87" s="63"/>
      <x:c r="J87" s="63"/>
      <x:c r="K87" s="18"/>
      <x:c r="L87" s="65"/>
      <x:c r="M87" s="18" t="str">
        <x:v>Hard Rock Stadium</x:v>
      </x:c>
      <x:c r="N87" s="18" t="str">
        <x:v>Miami</x:v>
      </x:c>
      <x:c r="O87" s="18" t="str">
        <x:f>G87&amp;" vs "&amp;H87</x:f>
        <x:v>Group J Winner vs Group H Runner-Up</x:v>
      </x:c>
      <x:c r="P87" s="60" t="n">
        <x:v>46206.958333333336</x:v>
      </x:c>
      <x:c r="Q87" s="18" t="str">
        <x:f>IF(K87="","Awaiting result","Final")</x:f>
        <x:v>Awaiting result</x:v>
      </x:c>
    </x:row>
    <x:row r="88">
      <x:c r="A88" s="18" t="n">
        <x:v>87</x:v>
      </x:c>
      <x:c r="B88" s="61" t="str">
        <x:v>2026-07-03</x:v>
      </x:c>
      <x:c r="C88" s="18" t="str">
        <x:v>21:30</x:v>
      </x:c>
      <x:c r="D88" s="18" t="str">
        <x:v>20:30</x:v>
      </x:c>
      <x:c r="E88" s="18" t="str">
        <x:v>Round of 32</x:v>
      </x:c>
      <x:c r="F88" s="18"/>
      <x:c r="G88" s="18" t="str">
        <x:v>Group K Winner</x:v>
      </x:c>
      <x:c r="H88" s="18" t="str">
        <x:v>Group D/E/I/J/L 3rd Place</x:v>
      </x:c>
      <x:c r="I88" s="63"/>
      <x:c r="J88" s="63"/>
      <x:c r="K88" s="18"/>
      <x:c r="L88" s="65"/>
      <x:c r="M88" s="18" t="str">
        <x:v>Arrowhead Stadium</x:v>
      </x:c>
      <x:c r="N88" s="18" t="str">
        <x:v>Kansas City</x:v>
      </x:c>
      <x:c r="O88" s="18" t="str">
        <x:f>G88&amp;" vs "&amp;H88</x:f>
        <x:v>Group K Winner vs Group D/E/I/J/L 3rd Place</x:v>
      </x:c>
      <x:c r="P88" s="60" t="n">
        <x:v>46207.0625</x:v>
      </x:c>
      <x:c r="Q88" s="18" t="str">
        <x:f>IF(K88="","Awaiting result","Final")</x:f>
        <x:v>Awaiting result</x:v>
      </x:c>
    </x:row>
    <x:row r="89">
      <x:c r="A89" s="18" t="n">
        <x:v>88</x:v>
      </x:c>
      <x:c r="B89" s="61" t="str">
        <x:v>2026-07-03</x:v>
      </x:c>
      <x:c r="C89" s="18" t="str">
        <x:v>14:00</x:v>
      </x:c>
      <x:c r="D89" s="18" t="str">
        <x:v>13:00</x:v>
      </x:c>
      <x:c r="E89" s="18" t="str">
        <x:v>Round of 32</x:v>
      </x:c>
      <x:c r="F89" s="18"/>
      <x:c r="G89" s="18" t="str">
        <x:v>Group D Runner-Up</x:v>
      </x:c>
      <x:c r="H89" s="18" t="str">
        <x:v>Group G Runner-Up</x:v>
      </x:c>
      <x:c r="I89" s="63"/>
      <x:c r="J89" s="63"/>
      <x:c r="K89" s="18"/>
      <x:c r="L89" s="65"/>
      <x:c r="M89" s="18" t="str">
        <x:v>AT&amp;T Stadium</x:v>
      </x:c>
      <x:c r="N89" s="18" t="str">
        <x:v>Dallas</x:v>
      </x:c>
      <x:c r="O89" s="18" t="str">
        <x:f>G89&amp;" vs "&amp;H89</x:f>
        <x:v>Group D Runner-Up vs Group G Runner-Up</x:v>
      </x:c>
      <x:c r="P89" s="60" t="n">
        <x:v>46206.75</x:v>
      </x:c>
      <x:c r="Q89" s="18" t="str">
        <x:f>IF(K89="","Awaiting result","Final")</x:f>
        <x:v>Awaiting result</x:v>
      </x:c>
    </x:row>
    <x:row r="90">
      <x:c r="A90" s="18" t="n">
        <x:v>89</x:v>
      </x:c>
      <x:c r="B90" s="61" t="str">
        <x:v>2026-07-04</x:v>
      </x:c>
      <x:c r="C90" s="18" t="str">
        <x:v>17:00</x:v>
      </x:c>
      <x:c r="D90" s="18" t="str">
        <x:v>17:00</x:v>
      </x:c>
      <x:c r="E90" s="18" t="str">
        <x:v>Round of 16</x:v>
      </x:c>
      <x:c r="F90" s="18"/>
      <x:c r="G90" s="18" t="str">
        <x:v>Match 74 Winner</x:v>
      </x:c>
      <x:c r="H90" s="18" t="str">
        <x:v>Match 77 Winner</x:v>
      </x:c>
      <x:c r="I90" s="63"/>
      <x:c r="J90" s="63"/>
      <x:c r="K90" s="18"/>
      <x:c r="L90" s="65"/>
      <x:c r="M90" s="18" t="str">
        <x:v>Lincoln Financial Field</x:v>
      </x:c>
      <x:c r="N90" s="18" t="str">
        <x:v>Philadelphia</x:v>
      </x:c>
      <x:c r="O90" s="18" t="str">
        <x:f>G90&amp;" vs "&amp;H90</x:f>
        <x:v>Match 74 Winner vs Match 77 Winner</x:v>
      </x:c>
      <x:c r="P90" s="60" t="n">
        <x:v>46207.916666666664</x:v>
      </x:c>
      <x:c r="Q90" s="18" t="str">
        <x:f>IF(K90="","Awaiting result","Final")</x:f>
        <x:v>Awaiting result</x:v>
      </x:c>
    </x:row>
    <x:row r="91">
      <x:c r="A91" s="18" t="n">
        <x:v>90</x:v>
      </x:c>
      <x:c r="B91" s="61" t="str">
        <x:v>2026-07-04</x:v>
      </x:c>
      <x:c r="C91" s="18" t="str">
        <x:v>13:00</x:v>
      </x:c>
      <x:c r="D91" s="18" t="str">
        <x:v>12:00</x:v>
      </x:c>
      <x:c r="E91" s="18" t="str">
        <x:v>Round of 16</x:v>
      </x:c>
      <x:c r="F91" s="18"/>
      <x:c r="G91" s="18" t="str">
        <x:v>Match 73 Winner</x:v>
      </x:c>
      <x:c r="H91" s="18" t="str">
        <x:v>Match 75 Winner</x:v>
      </x:c>
      <x:c r="I91" s="63"/>
      <x:c r="J91" s="63"/>
      <x:c r="K91" s="18"/>
      <x:c r="L91" s="65"/>
      <x:c r="M91" s="18" t="str">
        <x:v>NRG Stadium</x:v>
      </x:c>
      <x:c r="N91" s="18" t="str">
        <x:v>Houston</x:v>
      </x:c>
      <x:c r="O91" s="18" t="str">
        <x:f>G91&amp;" vs "&amp;H91</x:f>
        <x:v>Match 73 Winner vs Match 75 Winner</x:v>
      </x:c>
      <x:c r="P91" s="60" t="n">
        <x:v>46207.708333333336</x:v>
      </x:c>
      <x:c r="Q91" s="18" t="str">
        <x:f>IF(K91="","Awaiting result","Final")</x:f>
        <x:v>Awaiting result</x:v>
      </x:c>
    </x:row>
    <x:row r="92">
      <x:c r="A92" s="18" t="n">
        <x:v>91</x:v>
      </x:c>
      <x:c r="B92" s="61" t="str">
        <x:v>2026-07-05</x:v>
      </x:c>
      <x:c r="C92" s="18" t="str">
        <x:v>16:00</x:v>
      </x:c>
      <x:c r="D92" s="18" t="str">
        <x:v>16:00</x:v>
      </x:c>
      <x:c r="E92" s="18" t="str">
        <x:v>Round of 16</x:v>
      </x:c>
      <x:c r="F92" s="18"/>
      <x:c r="G92" s="18" t="str">
        <x:v>Match 76 Winner</x:v>
      </x:c>
      <x:c r="H92" s="18" t="str">
        <x:v>Match 78 Winner</x:v>
      </x:c>
      <x:c r="I92" s="63"/>
      <x:c r="J92" s="63"/>
      <x:c r="K92" s="18"/>
      <x:c r="L92" s="65"/>
      <x:c r="M92" s="18" t="str">
        <x:v>MetLife Stadium</x:v>
      </x:c>
      <x:c r="N92" s="18" t="str">
        <x:v>New York/New Jersey</x:v>
      </x:c>
      <x:c r="O92" s="18" t="str">
        <x:f>G92&amp;" vs "&amp;H92</x:f>
        <x:v>Match 76 Winner vs Match 78 Winner</x:v>
      </x:c>
      <x:c r="P92" s="60" t="n">
        <x:v>46208.875</x:v>
      </x:c>
      <x:c r="Q92" s="18" t="str">
        <x:f>IF(K92="","Awaiting result","Final")</x:f>
        <x:v>Awaiting result</x:v>
      </x:c>
    </x:row>
    <x:row r="93">
      <x:c r="A93" s="18" t="n">
        <x:v>92</x:v>
      </x:c>
      <x:c r="B93" s="61" t="str">
        <x:v>2026-07-05</x:v>
      </x:c>
      <x:c r="C93" s="18" t="str">
        <x:v>20:00</x:v>
      </x:c>
      <x:c r="D93" s="18" t="str">
        <x:v>18:00</x:v>
      </x:c>
      <x:c r="E93" s="18" t="str">
        <x:v>Round of 16</x:v>
      </x:c>
      <x:c r="F93" s="18"/>
      <x:c r="G93" s="18" t="str">
        <x:v>Match 79 Winner</x:v>
      </x:c>
      <x:c r="H93" s="18" t="str">
        <x:v>Match 80 Winner</x:v>
      </x:c>
      <x:c r="I93" s="63"/>
      <x:c r="J93" s="63"/>
      <x:c r="K93" s="18"/>
      <x:c r="L93" s="65"/>
      <x:c r="M93" s="18" t="str">
        <x:v>Estadio Azteca</x:v>
      </x:c>
      <x:c r="N93" s="18" t="str">
        <x:v>Mexico City</x:v>
      </x:c>
      <x:c r="O93" s="18" t="str">
        <x:f>G93&amp;" vs "&amp;H93</x:f>
        <x:v>Match 79 Winner vs Match 80 Winner</x:v>
      </x:c>
      <x:c r="P93" s="60" t="n">
        <x:v>46208.958333333336</x:v>
      </x:c>
      <x:c r="Q93" s="18" t="str">
        <x:f>IF(K93="","Awaiting result","Final")</x:f>
        <x:v>Awaiting result</x:v>
      </x:c>
    </x:row>
    <x:row r="94">
      <x:c r="A94" s="18" t="n">
        <x:v>93</x:v>
      </x:c>
      <x:c r="B94" s="61" t="str">
        <x:v>2026-07-06</x:v>
      </x:c>
      <x:c r="C94" s="18" t="str">
        <x:v>15:00</x:v>
      </x:c>
      <x:c r="D94" s="18" t="str">
        <x:v>14:00</x:v>
      </x:c>
      <x:c r="E94" s="18" t="str">
        <x:v>Round of 16</x:v>
      </x:c>
      <x:c r="F94" s="18"/>
      <x:c r="G94" s="18" t="str">
        <x:v>Match 83 Winner</x:v>
      </x:c>
      <x:c r="H94" s="18" t="str">
        <x:v>Match 84 Winner</x:v>
      </x:c>
      <x:c r="I94" s="63"/>
      <x:c r="J94" s="63"/>
      <x:c r="K94" s="18"/>
      <x:c r="L94" s="65"/>
      <x:c r="M94" s="18" t="str">
        <x:v>AT&amp;T Stadium</x:v>
      </x:c>
      <x:c r="N94" s="18" t="str">
        <x:v>Dallas</x:v>
      </x:c>
      <x:c r="O94" s="18" t="str">
        <x:f>G94&amp;" vs "&amp;H94</x:f>
        <x:v>Match 83 Winner vs Match 84 Winner</x:v>
      </x:c>
      <x:c r="P94" s="60" t="n">
        <x:v>46209.791666666664</x:v>
      </x:c>
      <x:c r="Q94" s="18" t="str">
        <x:f>IF(K94="","Awaiting result","Final")</x:f>
        <x:v>Awaiting result</x:v>
      </x:c>
    </x:row>
    <x:row r="95">
      <x:c r="A95" s="18" t="n">
        <x:v>94</x:v>
      </x:c>
      <x:c r="B95" s="61" t="str">
        <x:v>2026-07-06</x:v>
      </x:c>
      <x:c r="C95" s="18" t="str">
        <x:v>20:00</x:v>
      </x:c>
      <x:c r="D95" s="18" t="str">
        <x:v>17:00</x:v>
      </x:c>
      <x:c r="E95" s="18" t="str">
        <x:v>Round of 16</x:v>
      </x:c>
      <x:c r="F95" s="18"/>
      <x:c r="G95" s="18" t="str">
        <x:v>Match 81 Winner</x:v>
      </x:c>
      <x:c r="H95" s="18" t="str">
        <x:v>Match 82 Winner</x:v>
      </x:c>
      <x:c r="I95" s="63"/>
      <x:c r="J95" s="63"/>
      <x:c r="K95" s="18"/>
      <x:c r="L95" s="65"/>
      <x:c r="M95" s="18" t="str">
        <x:v>Lumen Field</x:v>
      </x:c>
      <x:c r="N95" s="18" t="str">
        <x:v>Seattle</x:v>
      </x:c>
      <x:c r="O95" s="18" t="str">
        <x:f>G95&amp;" vs "&amp;H95</x:f>
        <x:v>Match 81 Winner vs Match 82 Winner</x:v>
      </x:c>
      <x:c r="P95" s="60" t="n">
        <x:v>46209.916666666664</x:v>
      </x:c>
      <x:c r="Q95" s="18" t="str">
        <x:f>IF(K95="","Awaiting result","Final")</x:f>
        <x:v>Awaiting result</x:v>
      </x:c>
    </x:row>
    <x:row r="96">
      <x:c r="A96" s="18" t="n">
        <x:v>95</x:v>
      </x:c>
      <x:c r="B96" s="61" t="str">
        <x:v>2026-07-07</x:v>
      </x:c>
      <x:c r="C96" s="18" t="str">
        <x:v>12:00</x:v>
      </x:c>
      <x:c r="D96" s="18" t="str">
        <x:v>12:00</x:v>
      </x:c>
      <x:c r="E96" s="18" t="str">
        <x:v>Round of 16</x:v>
      </x:c>
      <x:c r="F96" s="18"/>
      <x:c r="G96" s="18" t="str">
        <x:v>Match 86 Winner</x:v>
      </x:c>
      <x:c r="H96" s="18" t="str">
        <x:v>Match 88 Winner</x:v>
      </x:c>
      <x:c r="I96" s="63"/>
      <x:c r="J96" s="63"/>
      <x:c r="K96" s="18"/>
      <x:c r="L96" s="65"/>
      <x:c r="M96" s="18" t="str">
        <x:v>Mercedes-Benz Stadium</x:v>
      </x:c>
      <x:c r="N96" s="18" t="str">
        <x:v>Atlanta</x:v>
      </x:c>
      <x:c r="O96" s="18" t="str">
        <x:f>G96&amp;" vs "&amp;H96</x:f>
        <x:v>Match 86 Winner vs Match 88 Winner</x:v>
      </x:c>
      <x:c r="P96" s="60" t="n">
        <x:v>46210.708333333336</x:v>
      </x:c>
      <x:c r="Q96" s="18" t="str">
        <x:f>IF(K96="","Awaiting result","Final")</x:f>
        <x:v>Awaiting result</x:v>
      </x:c>
    </x:row>
    <x:row r="97">
      <x:c r="A97" s="18" t="n">
        <x:v>96</x:v>
      </x:c>
      <x:c r="B97" s="61" t="str">
        <x:v>2026-07-07</x:v>
      </x:c>
      <x:c r="C97" s="18" t="str">
        <x:v>16:00</x:v>
      </x:c>
      <x:c r="D97" s="18" t="str">
        <x:v>13:00</x:v>
      </x:c>
      <x:c r="E97" s="18" t="str">
        <x:v>Round of 16</x:v>
      </x:c>
      <x:c r="F97" s="18"/>
      <x:c r="G97" s="18" t="str">
        <x:v>Match 85 Winner</x:v>
      </x:c>
      <x:c r="H97" s="18" t="str">
        <x:v>Match 87 Winner</x:v>
      </x:c>
      <x:c r="I97" s="63"/>
      <x:c r="J97" s="63"/>
      <x:c r="K97" s="18"/>
      <x:c r="L97" s="65"/>
      <x:c r="M97" s="18" t="str">
        <x:v>BC Place</x:v>
      </x:c>
      <x:c r="N97" s="18" t="str">
        <x:v>Vancouver</x:v>
      </x:c>
      <x:c r="O97" s="18" t="str">
        <x:f>G97&amp;" vs "&amp;H97</x:f>
        <x:v>Match 85 Winner vs Match 87 Winner</x:v>
      </x:c>
      <x:c r="P97" s="60" t="n">
        <x:v>46210.75</x:v>
      </x:c>
      <x:c r="Q97" s="18" t="str">
        <x:f>IF(K97="","Awaiting result","Final")</x:f>
        <x:v>Awaiting result</x:v>
      </x:c>
    </x:row>
    <x:row r="98">
      <x:c r="A98" s="18" t="n">
        <x:v>97</x:v>
      </x:c>
      <x:c r="B98" s="61" t="str">
        <x:v>2026-07-09</x:v>
      </x:c>
      <x:c r="C98" s="18" t="str">
        <x:v>16:00</x:v>
      </x:c>
      <x:c r="D98" s="18" t="str">
        <x:v>16:00</x:v>
      </x:c>
      <x:c r="E98" s="18" t="str">
        <x:v>Quarter-final</x:v>
      </x:c>
      <x:c r="F98" s="18"/>
      <x:c r="G98" s="18" t="str">
        <x:v>Match 89 Winner</x:v>
      </x:c>
      <x:c r="H98" s="18" t="str">
        <x:v>Match 90 Winner</x:v>
      </x:c>
      <x:c r="I98" s="63"/>
      <x:c r="J98" s="63"/>
      <x:c r="K98" s="18"/>
      <x:c r="L98" s="65"/>
      <x:c r="M98" s="18" t="str">
        <x:v>Gillette Stadium</x:v>
      </x:c>
      <x:c r="N98" s="18" t="str">
        <x:v>Boston</x:v>
      </x:c>
      <x:c r="O98" s="18" t="str">
        <x:f>G98&amp;" vs "&amp;H98</x:f>
        <x:v>Match 89 Winner vs Match 90 Winner</x:v>
      </x:c>
      <x:c r="P98" s="60" t="n">
        <x:v>46212.875</x:v>
      </x:c>
      <x:c r="Q98" s="18" t="str">
        <x:f>IF(K98="","Awaiting result","Final")</x:f>
        <x:v>Awaiting result</x:v>
      </x:c>
    </x:row>
    <x:row r="99">
      <x:c r="A99" s="18" t="n">
        <x:v>98</x:v>
      </x:c>
      <x:c r="B99" s="61" t="str">
        <x:v>2026-07-10</x:v>
      </x:c>
      <x:c r="C99" s="18" t="str">
        <x:v>15:00</x:v>
      </x:c>
      <x:c r="D99" s="18" t="str">
        <x:v>12:00</x:v>
      </x:c>
      <x:c r="E99" s="18" t="str">
        <x:v>Quarter-final</x:v>
      </x:c>
      <x:c r="F99" s="18"/>
      <x:c r="G99" s="18" t="str">
        <x:v>Match 93 Winner</x:v>
      </x:c>
      <x:c r="H99" s="18" t="str">
        <x:v>Match 94 Winner</x:v>
      </x:c>
      <x:c r="I99" s="63"/>
      <x:c r="J99" s="63"/>
      <x:c r="K99" s="18"/>
      <x:c r="L99" s="65"/>
      <x:c r="M99" s="18" t="str">
        <x:v>SoFi Stadium</x:v>
      </x:c>
      <x:c r="N99" s="18" t="str">
        <x:v>Los Angeles</x:v>
      </x:c>
      <x:c r="O99" s="18" t="str">
        <x:f>G99&amp;" vs "&amp;H99</x:f>
        <x:v>Match 93 Winner vs Match 94 Winner</x:v>
      </x:c>
      <x:c r="P99" s="60" t="n">
        <x:v>46213.708333333336</x:v>
      </x:c>
      <x:c r="Q99" s="18" t="str">
        <x:f>IF(K99="","Awaiting result","Final")</x:f>
        <x:v>Awaiting result</x:v>
      </x:c>
    </x:row>
    <x:row r="100">
      <x:c r="A100" s="18" t="n">
        <x:v>99</x:v>
      </x:c>
      <x:c r="B100" s="61" t="str">
        <x:v>2026-07-11</x:v>
      </x:c>
      <x:c r="C100" s="18" t="str">
        <x:v>17:00</x:v>
      </x:c>
      <x:c r="D100" s="18" t="str">
        <x:v>17:00</x:v>
      </x:c>
      <x:c r="E100" s="18" t="str">
        <x:v>Quarter-final</x:v>
      </x:c>
      <x:c r="F100" s="18"/>
      <x:c r="G100" s="18" t="str">
        <x:v>Match 91 Winner</x:v>
      </x:c>
      <x:c r="H100" s="18" t="str">
        <x:v>Match 92 Winner</x:v>
      </x:c>
      <x:c r="I100" s="63"/>
      <x:c r="J100" s="63"/>
      <x:c r="K100" s="18"/>
      <x:c r="L100" s="65"/>
      <x:c r="M100" s="18" t="str">
        <x:v>Hard Rock Stadium</x:v>
      </x:c>
      <x:c r="N100" s="18" t="str">
        <x:v>Miami</x:v>
      </x:c>
      <x:c r="O100" s="18" t="str">
        <x:f>G100&amp;" vs "&amp;H100</x:f>
        <x:v>Match 91 Winner vs Match 92 Winner</x:v>
      </x:c>
      <x:c r="P100" s="60" t="n">
        <x:v>46214.916666666664</x:v>
      </x:c>
      <x:c r="Q100" s="18" t="str">
        <x:f>IF(K100="","Awaiting result","Final")</x:f>
        <x:v>Awaiting result</x:v>
      </x:c>
    </x:row>
    <x:row r="101">
      <x:c r="A101" s="18" t="n">
        <x:v>100</x:v>
      </x:c>
      <x:c r="B101" s="61" t="str">
        <x:v>2026-07-11</x:v>
      </x:c>
      <x:c r="C101" s="18" t="str">
        <x:v>21:00</x:v>
      </x:c>
      <x:c r="D101" s="18" t="str">
        <x:v>20:00</x:v>
      </x:c>
      <x:c r="E101" s="18" t="str">
        <x:v>Quarter-final</x:v>
      </x:c>
      <x:c r="F101" s="18"/>
      <x:c r="G101" s="18" t="str">
        <x:v>Match 95 Winner</x:v>
      </x:c>
      <x:c r="H101" s="18" t="str">
        <x:v>Match 96 Winner</x:v>
      </x:c>
      <x:c r="I101" s="63"/>
      <x:c r="J101" s="63"/>
      <x:c r="K101" s="18"/>
      <x:c r="L101" s="65"/>
      <x:c r="M101" s="18" t="str">
        <x:v>Arrowhead Stadium</x:v>
      </x:c>
      <x:c r="N101" s="18" t="str">
        <x:v>Kansas City</x:v>
      </x:c>
      <x:c r="O101" s="18" t="str">
        <x:f>G101&amp;" vs "&amp;H101</x:f>
        <x:v>Match 95 Winner vs Match 96 Winner</x:v>
      </x:c>
      <x:c r="P101" s="60" t="n">
        <x:v>46215.041666666664</x:v>
      </x:c>
      <x:c r="Q101" s="18" t="str">
        <x:f>IF(K101="","Awaiting result","Final")</x:f>
        <x:v>Awaiting result</x:v>
      </x:c>
    </x:row>
    <x:row r="102">
      <x:c r="A102" s="18" t="n">
        <x:v>101</x:v>
      </x:c>
      <x:c r="B102" s="61" t="str">
        <x:v>2026-07-14</x:v>
      </x:c>
      <x:c r="C102" s="18" t="str">
        <x:v>15:00</x:v>
      </x:c>
      <x:c r="D102" s="18" t="str">
        <x:v>14:00</x:v>
      </x:c>
      <x:c r="E102" s="18" t="str">
        <x:v>Semi-final</x:v>
      </x:c>
      <x:c r="F102" s="18"/>
      <x:c r="G102" s="18" t="str">
        <x:v>Match 97 Winner</x:v>
      </x:c>
      <x:c r="H102" s="18" t="str">
        <x:v>Match 98 Winner</x:v>
      </x:c>
      <x:c r="I102" s="63"/>
      <x:c r="J102" s="63"/>
      <x:c r="K102" s="18"/>
      <x:c r="L102" s="65"/>
      <x:c r="M102" s="18" t="str">
        <x:v>AT&amp;T Stadium</x:v>
      </x:c>
      <x:c r="N102" s="18" t="str">
        <x:v>Dallas</x:v>
      </x:c>
      <x:c r="O102" s="18" t="str">
        <x:f>G102&amp;" vs "&amp;H102</x:f>
        <x:v>Match 97 Winner vs Match 98 Winner</x:v>
      </x:c>
      <x:c r="P102" s="60" t="n">
        <x:v>46217.791666666664</x:v>
      </x:c>
      <x:c r="Q102" s="18" t="str">
        <x:f>IF(K102="","Awaiting result","Final")</x:f>
        <x:v>Awaiting result</x:v>
      </x:c>
    </x:row>
    <x:row r="103">
      <x:c r="A103" s="18" t="n">
        <x:v>102</x:v>
      </x:c>
      <x:c r="B103" s="61" t="str">
        <x:v>2026-07-15</x:v>
      </x:c>
      <x:c r="C103" s="18" t="str">
        <x:v>15:00</x:v>
      </x:c>
      <x:c r="D103" s="18" t="str">
        <x:v>15:00</x:v>
      </x:c>
      <x:c r="E103" s="18" t="str">
        <x:v>Semi-final</x:v>
      </x:c>
      <x:c r="F103" s="18"/>
      <x:c r="G103" s="18" t="str">
        <x:v>Match 99 Winner</x:v>
      </x:c>
      <x:c r="H103" s="18" t="str">
        <x:v>Match 100 Winner</x:v>
      </x:c>
      <x:c r="I103" s="63"/>
      <x:c r="J103" s="63"/>
      <x:c r="K103" s="18"/>
      <x:c r="L103" s="65"/>
      <x:c r="M103" s="18" t="str">
        <x:v>Mercedes-Benz Stadium</x:v>
      </x:c>
      <x:c r="N103" s="18" t="str">
        <x:v>Atlanta</x:v>
      </x:c>
      <x:c r="O103" s="18" t="str">
        <x:f>G103&amp;" vs "&amp;H103</x:f>
        <x:v>Match 99 Winner vs Match 100 Winner</x:v>
      </x:c>
      <x:c r="P103" s="60" t="n">
        <x:v>46218.833333333336</x:v>
      </x:c>
      <x:c r="Q103" s="18" t="str">
        <x:f>IF(K103="","Awaiting result","Final")</x:f>
        <x:v>Awaiting result</x:v>
      </x:c>
    </x:row>
    <x:row r="104">
      <x:c r="A104" s="18" t="n">
        <x:v>103</x:v>
      </x:c>
      <x:c r="B104" s="61" t="str">
        <x:v>2026-07-18</x:v>
      </x:c>
      <x:c r="C104" s="18" t="str">
        <x:v>17:00</x:v>
      </x:c>
      <x:c r="D104" s="18" t="str">
        <x:v>17:00</x:v>
      </x:c>
      <x:c r="E104" s="18" t="str">
        <x:v>Third Place</x:v>
      </x:c>
      <x:c r="F104" s="18"/>
      <x:c r="G104" s="18" t="str">
        <x:v>Match 101 Loser</x:v>
      </x:c>
      <x:c r="H104" s="18" t="str">
        <x:v>Match 102 Loser</x:v>
      </x:c>
      <x:c r="I104" s="63"/>
      <x:c r="J104" s="63"/>
      <x:c r="K104" s="18"/>
      <x:c r="L104" s="65"/>
      <x:c r="M104" s="18" t="str">
        <x:v>Hard Rock Stadium</x:v>
      </x:c>
      <x:c r="N104" s="18" t="str">
        <x:v>Miami</x:v>
      </x:c>
      <x:c r="O104" s="18" t="str">
        <x:f>G104&amp;" vs "&amp;H104</x:f>
        <x:v>Match 101 Loser vs Match 102 Loser</x:v>
      </x:c>
      <x:c r="P104" s="60" t="n">
        <x:v>46221.916666666664</x:v>
      </x:c>
      <x:c r="Q104" s="18" t="str">
        <x:f>IF(K104="","Awaiting result","Final")</x:f>
        <x:v>Awaiting result</x:v>
      </x:c>
    </x:row>
    <x:row r="105">
      <x:c r="A105" s="18" t="n">
        <x:v>104</x:v>
      </x:c>
      <x:c r="B105" s="61" t="str">
        <x:v>2026-07-19</x:v>
      </x:c>
      <x:c r="C105" s="18" t="str">
        <x:v>15:00</x:v>
      </x:c>
      <x:c r="D105" s="18" t="str">
        <x:v>15:00</x:v>
      </x:c>
      <x:c r="E105" s="18" t="str">
        <x:v>Final</x:v>
      </x:c>
      <x:c r="F105" s="18"/>
      <x:c r="G105" s="18" t="str">
        <x:v>Match 101 Winner</x:v>
      </x:c>
      <x:c r="H105" s="18" t="str">
        <x:v>Match 102 Winner</x:v>
      </x:c>
      <x:c r="I105" s="63"/>
      <x:c r="J105" s="63"/>
      <x:c r="K105" s="18"/>
      <x:c r="L105" s="65"/>
      <x:c r="M105" s="18" t="str">
        <x:v>MetLife Stadium</x:v>
      </x:c>
      <x:c r="N105" s="18" t="str">
        <x:v>New York/New Jersey</x:v>
      </x:c>
      <x:c r="O105" s="18" t="str">
        <x:f>G105&amp;" vs "&amp;H105</x:f>
        <x:v>Match 101 Winner vs Match 102 Winner</x:v>
      </x:c>
      <x:c r="P105" s="60" t="n">
        <x:v>46222.833333333336</x:v>
      </x:c>
      <x:c r="Q105" s="18" t="str">
        <x:f>IF(K105="","Awaiting result","Final")</x:f>
        <x:v>Awaiting result</x:v>
      </x:c>
    </x:row>
    <x:row r="106">
      <x:c r="A106" s="18"/>
      <x:c r="B106" s="61"/>
      <x:c r="C106" s="18"/>
      <x:c r="D106" s="18"/>
      <x:c r="E106" s="18"/>
      <x:c r="F106" s="18"/>
      <x:c r="G106" s="18"/>
      <x:c r="H106" s="18"/>
      <x:c r="I106" s="63"/>
      <x:c r="J106" s="63"/>
      <x:c r="K106" s="18"/>
      <x:c r="L106" s="65"/>
      <x:c r="M106" s="18"/>
      <x:c r="N106" s="18"/>
      <x:c r="O106" s="18" t="str">
        <x:f>G106&amp;" vs "&amp;H106</x:f>
        <x:v> vs </x:v>
      </x:c>
      <x:c r="P106" s="60"/>
      <x:c r="Q106" s="18" t="str">
        <x:f>IF(K106="","Awaiting result","Final")</x:f>
        <x:v>Awaiting result</x:v>
      </x:c>
    </x:row>
    <x:row r="107">
      <x:c r="A107" s="18"/>
      <x:c r="B107" s="61"/>
      <x:c r="C107" s="18"/>
      <x:c r="D107" s="18"/>
      <x:c r="E107" s="18"/>
      <x:c r="F107" s="18"/>
      <x:c r="G107" s="18"/>
      <x:c r="H107" s="18"/>
      <x:c r="I107" s="63"/>
      <x:c r="J107" s="63"/>
      <x:c r="K107" s="18"/>
      <x:c r="L107" s="65"/>
      <x:c r="M107" s="18"/>
      <x:c r="N107" s="18"/>
      <x:c r="O107" s="18" t="str">
        <x:f>G107&amp;" vs "&amp;H107</x:f>
        <x:v> vs </x:v>
      </x:c>
      <x:c r="P107" s="60"/>
      <x:c r="Q107" s="18" t="str">
        <x:f>IF(K107="","Awaiting result","Final")</x:f>
        <x:v>Awaiting result</x:v>
      </x:c>
    </x:row>
    <x:row r="108">
      <x:c r="A108" s="18"/>
      <x:c r="B108" s="61"/>
      <x:c r="C108" s="18"/>
      <x:c r="D108" s="18"/>
      <x:c r="E108" s="18"/>
      <x:c r="F108" s="18"/>
      <x:c r="G108" s="18"/>
      <x:c r="H108" s="18"/>
      <x:c r="I108" s="63"/>
      <x:c r="J108" s="63"/>
      <x:c r="K108" s="18"/>
      <x:c r="L108" s="65"/>
      <x:c r="M108" s="18"/>
      <x:c r="N108" s="18"/>
      <x:c r="O108" s="18" t="str">
        <x:f>G108&amp;" vs "&amp;H108</x:f>
        <x:v> vs </x:v>
      </x:c>
      <x:c r="P108" s="60"/>
      <x:c r="Q108" s="18" t="str">
        <x:f>IF(K108="","Awaiting result","Final")</x:f>
        <x:v>Awaiting result</x:v>
      </x:c>
    </x:row>
    <x:row r="109">
      <x:c r="A109" s="18"/>
      <x:c r="B109" s="61"/>
      <x:c r="C109" s="18"/>
      <x:c r="D109" s="18"/>
      <x:c r="E109" s="18"/>
      <x:c r="F109" s="18"/>
      <x:c r="G109" s="18"/>
      <x:c r="H109" s="18"/>
      <x:c r="I109" s="63"/>
      <x:c r="J109" s="63"/>
      <x:c r="K109" s="18"/>
      <x:c r="L109" s="65"/>
      <x:c r="M109" s="18"/>
      <x:c r="N109" s="18"/>
      <x:c r="O109" s="18" t="str">
        <x:f>G109&amp;" vs "&amp;H109</x:f>
        <x:v> vs </x:v>
      </x:c>
      <x:c r="P109" s="60"/>
      <x:c r="Q109" s="18" t="str">
        <x:f>IF(K109="","Awaiting result","Final")</x:f>
        <x:v>Awaiting result</x:v>
      </x:c>
    </x:row>
    <x:row r="110">
      <x:c r="A110" s="18"/>
      <x:c r="B110" s="61"/>
      <x:c r="C110" s="18"/>
      <x:c r="D110" s="18"/>
      <x:c r="E110" s="18"/>
      <x:c r="F110" s="18"/>
      <x:c r="G110" s="18"/>
      <x:c r="H110" s="18"/>
      <x:c r="I110" s="63"/>
      <x:c r="J110" s="63"/>
      <x:c r="K110" s="18"/>
      <x:c r="L110" s="65"/>
      <x:c r="M110" s="18"/>
      <x:c r="N110" s="18"/>
      <x:c r="O110" s="18" t="str">
        <x:f>G110&amp;" vs "&amp;H110</x:f>
        <x:v> vs </x:v>
      </x:c>
      <x:c r="P110" s="60"/>
      <x:c r="Q110" s="18" t="str">
        <x:f>IF(K110="","Awaiting result","Final")</x:f>
        <x:v>Awaiting result</x:v>
      </x:c>
    </x:row>
    <x:row r="111">
      <x:c r="A111" s="18"/>
      <x:c r="B111" s="61"/>
      <x:c r="C111" s="18"/>
      <x:c r="D111" s="18"/>
      <x:c r="E111" s="18"/>
      <x:c r="F111" s="18"/>
      <x:c r="G111" s="18"/>
      <x:c r="H111" s="18"/>
      <x:c r="I111" s="63"/>
      <x:c r="J111" s="63"/>
      <x:c r="K111" s="18"/>
      <x:c r="L111" s="65"/>
      <x:c r="M111" s="18"/>
      <x:c r="N111" s="18"/>
      <x:c r="O111" s="18" t="str">
        <x:f>G111&amp;" vs "&amp;H111</x:f>
        <x:v> vs </x:v>
      </x:c>
      <x:c r="P111" s="60"/>
      <x:c r="Q111" s="18" t="str">
        <x:f>IF(K111="","Awaiting result","Final")</x:f>
        <x:v>Awaiting result</x:v>
      </x:c>
    </x:row>
    <x:row r="112">
      <x:c r="A112" s="18"/>
      <x:c r="B112" s="61"/>
      <x:c r="C112" s="18"/>
      <x:c r="D112" s="18"/>
      <x:c r="E112" s="18"/>
      <x:c r="F112" s="18"/>
      <x:c r="G112" s="18"/>
      <x:c r="H112" s="18"/>
      <x:c r="I112" s="63"/>
      <x:c r="J112" s="63"/>
      <x:c r="K112" s="18"/>
      <x:c r="L112" s="65"/>
      <x:c r="M112" s="18"/>
      <x:c r="N112" s="18"/>
      <x:c r="O112" s="18" t="str">
        <x:f>G112&amp;" vs "&amp;H112</x:f>
        <x:v> vs </x:v>
      </x:c>
      <x:c r="P112" s="60"/>
      <x:c r="Q112" s="18" t="str">
        <x:f>IF(K112="","Awaiting result","Final")</x:f>
        <x:v>Awaiting result</x:v>
      </x:c>
    </x:row>
    <x:row r="113">
      <x:c r="A113" s="18"/>
      <x:c r="B113" s="61"/>
      <x:c r="C113" s="18"/>
      <x:c r="D113" s="18"/>
      <x:c r="E113" s="18"/>
      <x:c r="F113" s="18"/>
      <x:c r="G113" s="18"/>
      <x:c r="H113" s="18"/>
      <x:c r="I113" s="63"/>
      <x:c r="J113" s="63"/>
      <x:c r="K113" s="18"/>
      <x:c r="L113" s="65"/>
      <x:c r="M113" s="18"/>
      <x:c r="N113" s="18"/>
      <x:c r="O113" s="18" t="str">
        <x:f>G113&amp;" vs "&amp;H113</x:f>
        <x:v> vs </x:v>
      </x:c>
      <x:c r="P113" s="60"/>
      <x:c r="Q113" s="18" t="str">
        <x:f>IF(K113="","Awaiting result","Final")</x:f>
        <x:v>Awaiting result</x:v>
      </x:c>
    </x:row>
    <x:row r="114">
      <x:c r="A114" s="18"/>
      <x:c r="B114" s="61"/>
      <x:c r="C114" s="18"/>
      <x:c r="D114" s="18"/>
      <x:c r="E114" s="18"/>
      <x:c r="F114" s="18"/>
      <x:c r="G114" s="18"/>
      <x:c r="H114" s="18"/>
      <x:c r="I114" s="63"/>
      <x:c r="J114" s="63"/>
      <x:c r="K114" s="18"/>
      <x:c r="L114" s="65"/>
      <x:c r="M114" s="18"/>
      <x:c r="N114" s="18"/>
      <x:c r="O114" s="18" t="str">
        <x:f>G114&amp;" vs "&amp;H114</x:f>
        <x:v> vs </x:v>
      </x:c>
      <x:c r="P114" s="60"/>
      <x:c r="Q114" s="18" t="str">
        <x:f>IF(K114="","Awaiting result","Final")</x:f>
        <x:v>Awaiting result</x:v>
      </x:c>
    </x:row>
    <x:row r="115">
      <x:c r="A115" s="18"/>
      <x:c r="B115" s="61"/>
      <x:c r="C115" s="18"/>
      <x:c r="D115" s="18"/>
      <x:c r="E115" s="18"/>
      <x:c r="F115" s="18"/>
      <x:c r="G115" s="18"/>
      <x:c r="H115" s="18"/>
      <x:c r="I115" s="63"/>
      <x:c r="J115" s="63"/>
      <x:c r="K115" s="18"/>
      <x:c r="L115" s="65"/>
      <x:c r="M115" s="18"/>
      <x:c r="N115" s="18"/>
      <x:c r="O115" s="18" t="str">
        <x:f>G115&amp;" vs "&amp;H115</x:f>
        <x:v> vs </x:v>
      </x:c>
      <x:c r="P115" s="60"/>
      <x:c r="Q115" s="18" t="str">
        <x:f>IF(K115="","Awaiting result","Final")</x:f>
        <x:v>Awaiting result</x:v>
      </x:c>
    </x:row>
    <x:row r="116">
      <x:c r="A116" s="18"/>
      <x:c r="B116" s="61"/>
      <x:c r="C116" s="18"/>
      <x:c r="D116" s="18"/>
      <x:c r="E116" s="18"/>
      <x:c r="F116" s="18"/>
      <x:c r="G116" s="18"/>
      <x:c r="H116" s="18"/>
      <x:c r="I116" s="63"/>
      <x:c r="J116" s="63"/>
      <x:c r="K116" s="18"/>
      <x:c r="L116" s="65"/>
      <x:c r="M116" s="18"/>
      <x:c r="N116" s="18"/>
      <x:c r="O116" s="18" t="str">
        <x:f>G116&amp;" vs "&amp;H116</x:f>
        <x:v> vs </x:v>
      </x:c>
      <x:c r="P116" s="60"/>
      <x:c r="Q116" s="18" t="str">
        <x:f>IF(K116="","Awaiting result","Final")</x:f>
        <x:v>Awaiting result</x:v>
      </x:c>
    </x:row>
    <x:row r="117">
      <x:c r="A117" s="18"/>
      <x:c r="B117" s="61"/>
      <x:c r="C117" s="18"/>
      <x:c r="D117" s="18"/>
      <x:c r="E117" s="18"/>
      <x:c r="F117" s="18"/>
      <x:c r="G117" s="18"/>
      <x:c r="H117" s="18"/>
      <x:c r="I117" s="63"/>
      <x:c r="J117" s="63"/>
      <x:c r="K117" s="18"/>
      <x:c r="L117" s="65"/>
      <x:c r="M117" s="18"/>
      <x:c r="N117" s="18"/>
      <x:c r="O117" s="18" t="str">
        <x:f>G117&amp;" vs "&amp;H117</x:f>
        <x:v> vs </x:v>
      </x:c>
      <x:c r="P117" s="60"/>
      <x:c r="Q117" s="18" t="str">
        <x:f>IF(K117="","Awaiting result","Final")</x:f>
        <x:v>Awaiting result</x:v>
      </x:c>
    </x:row>
    <x:row r="118">
      <x:c r="A118" s="18"/>
      <x:c r="B118" s="61"/>
      <x:c r="C118" s="18"/>
      <x:c r="D118" s="18"/>
      <x:c r="E118" s="18"/>
      <x:c r="F118" s="18"/>
      <x:c r="G118" s="18"/>
      <x:c r="H118" s="18"/>
      <x:c r="I118" s="63"/>
      <x:c r="J118" s="63"/>
      <x:c r="K118" s="18"/>
      <x:c r="L118" s="65"/>
      <x:c r="M118" s="18"/>
      <x:c r="N118" s="18"/>
      <x:c r="O118" s="18" t="str">
        <x:f>G118&amp;" vs "&amp;H118</x:f>
        <x:v> vs </x:v>
      </x:c>
      <x:c r="P118" s="60"/>
      <x:c r="Q118" s="18" t="str">
        <x:f>IF(K118="","Awaiting result","Final")</x:f>
        <x:v>Awaiting result</x:v>
      </x:c>
    </x:row>
    <x:row r="119">
      <x:c r="A119" s="18"/>
      <x:c r="B119" s="61"/>
      <x:c r="C119" s="18"/>
      <x:c r="D119" s="18"/>
      <x:c r="E119" s="18"/>
      <x:c r="F119" s="18"/>
      <x:c r="G119" s="18"/>
      <x:c r="H119" s="18"/>
      <x:c r="I119" s="63"/>
      <x:c r="J119" s="63"/>
      <x:c r="K119" s="18"/>
      <x:c r="L119" s="65"/>
      <x:c r="M119" s="18"/>
      <x:c r="N119" s="18"/>
      <x:c r="O119" s="18" t="str">
        <x:f>G119&amp;" vs "&amp;H119</x:f>
        <x:v> vs </x:v>
      </x:c>
      <x:c r="P119" s="60"/>
      <x:c r="Q119" s="18" t="str">
        <x:f>IF(K119="","Awaiting result","Final")</x:f>
        <x:v>Awaiting result</x:v>
      </x:c>
    </x:row>
    <x:row r="120">
      <x:c r="A120" s="18"/>
      <x:c r="B120" s="61"/>
      <x:c r="C120" s="18"/>
      <x:c r="D120" s="18"/>
      <x:c r="E120" s="18"/>
      <x:c r="F120" s="18"/>
      <x:c r="G120" s="18"/>
      <x:c r="H120" s="18"/>
      <x:c r="I120" s="63"/>
      <x:c r="J120" s="63"/>
      <x:c r="K120" s="18"/>
      <x:c r="L120" s="65"/>
      <x:c r="M120" s="18"/>
      <x:c r="N120" s="18"/>
      <x:c r="O120" s="18" t="str">
        <x:f>G120&amp;" vs "&amp;H120</x:f>
        <x:v> vs </x:v>
      </x:c>
      <x:c r="P120" s="60"/>
      <x:c r="Q120" s="18" t="str">
        <x:f>IF(K120="","Awaiting result","Final")</x:f>
        <x:v>Awaiting result</x:v>
      </x:c>
    </x:row>
    <x:row r="121">
      <x:c r="A121" s="18"/>
      <x:c r="B121" s="61"/>
      <x:c r="C121" s="18"/>
      <x:c r="D121" s="18"/>
      <x:c r="E121" s="18"/>
      <x:c r="F121" s="18"/>
      <x:c r="G121" s="18"/>
      <x:c r="H121" s="18"/>
      <x:c r="I121" s="63"/>
      <x:c r="J121" s="63"/>
      <x:c r="K121" s="18"/>
      <x:c r="L121" s="65"/>
      <x:c r="M121" s="18"/>
      <x:c r="N121" s="18"/>
      <x:c r="O121" s="18" t="str">
        <x:f>G121&amp;" vs "&amp;H121</x:f>
        <x:v> vs </x:v>
      </x:c>
      <x:c r="P121" s="60"/>
      <x:c r="Q121" s="18" t="str">
        <x:f>IF(K121="","Awaiting result","Final")</x:f>
        <x:v>Awaiting result</x:v>
      </x:c>
    </x:row>
    <x:row r="122">
      <x:c r="A122" s="18"/>
      <x:c r="B122" s="61"/>
      <x:c r="C122" s="18"/>
      <x:c r="D122" s="18"/>
      <x:c r="E122" s="18"/>
      <x:c r="F122" s="18"/>
      <x:c r="G122" s="18"/>
      <x:c r="H122" s="18"/>
      <x:c r="I122" s="63"/>
      <x:c r="J122" s="63"/>
      <x:c r="K122" s="18"/>
      <x:c r="L122" s="65"/>
      <x:c r="M122" s="18"/>
      <x:c r="N122" s="18"/>
      <x:c r="O122" s="18" t="str">
        <x:f>G122&amp;" vs "&amp;H122</x:f>
        <x:v> vs </x:v>
      </x:c>
      <x:c r="P122" s="60"/>
      <x:c r="Q122" s="18" t="str">
        <x:f>IF(K122="","Awaiting result","Final")</x:f>
        <x:v>Awaiting result</x:v>
      </x:c>
    </x:row>
    <x:row r="123">
      <x:c r="A123" s="18"/>
      <x:c r="B123" s="61"/>
      <x:c r="C123" s="18"/>
      <x:c r="D123" s="18"/>
      <x:c r="E123" s="18"/>
      <x:c r="F123" s="18"/>
      <x:c r="G123" s="18"/>
      <x:c r="H123" s="18"/>
      <x:c r="I123" s="63"/>
      <x:c r="J123" s="63"/>
      <x:c r="K123" s="18"/>
      <x:c r="L123" s="65"/>
      <x:c r="M123" s="18"/>
      <x:c r="N123" s="18"/>
      <x:c r="O123" s="18" t="str">
        <x:f>G123&amp;" vs "&amp;H123</x:f>
        <x:v> vs </x:v>
      </x:c>
      <x:c r="P123" s="60"/>
      <x:c r="Q123" s="18" t="str">
        <x:f>IF(K123="","Awaiting result","Final")</x:f>
        <x:v>Awaiting result</x:v>
      </x:c>
    </x:row>
    <x:row r="124">
      <x:c r="A124" s="18"/>
      <x:c r="B124" s="61"/>
      <x:c r="C124" s="18"/>
      <x:c r="D124" s="18"/>
      <x:c r="E124" s="18"/>
      <x:c r="F124" s="18"/>
      <x:c r="G124" s="18"/>
      <x:c r="H124" s="18"/>
      <x:c r="I124" s="63"/>
      <x:c r="J124" s="63"/>
      <x:c r="K124" s="18"/>
      <x:c r="L124" s="65"/>
      <x:c r="M124" s="18"/>
      <x:c r="N124" s="18"/>
      <x:c r="O124" s="18" t="str">
        <x:f>G124&amp;" vs "&amp;H124</x:f>
        <x:v> vs </x:v>
      </x:c>
      <x:c r="P124" s="60"/>
      <x:c r="Q124" s="18" t="str">
        <x:f>IF(K124="","Awaiting result","Final")</x:f>
        <x:v>Awaiting result</x:v>
      </x:c>
    </x:row>
    <x:row r="125">
      <x:c r="A125" s="18"/>
      <x:c r="B125" s="61"/>
      <x:c r="C125" s="18"/>
      <x:c r="D125" s="18"/>
      <x:c r="E125" s="18"/>
      <x:c r="F125" s="18"/>
      <x:c r="G125" s="18"/>
      <x:c r="H125" s="18"/>
      <x:c r="I125" s="63"/>
      <x:c r="J125" s="63"/>
      <x:c r="K125" s="18"/>
      <x:c r="L125" s="65"/>
      <x:c r="M125" s="18"/>
      <x:c r="N125" s="18"/>
      <x:c r="O125" s="18" t="str">
        <x:f>G125&amp;" vs "&amp;H125</x:f>
        <x:v> vs </x:v>
      </x:c>
      <x:c r="P125" s="60"/>
      <x:c r="Q125" s="18" t="str">
        <x:f>IF(K125="","Awaiting result","Final")</x:f>
        <x:v>Awaiting result</x:v>
      </x:c>
    </x:row>
    <x:row r="126">
      <x:c r="A126" s="18"/>
      <x:c r="B126" s="61"/>
      <x:c r="C126" s="18"/>
      <x:c r="D126" s="18"/>
      <x:c r="E126" s="18"/>
      <x:c r="F126" s="18"/>
      <x:c r="G126" s="18"/>
      <x:c r="H126" s="18"/>
      <x:c r="I126" s="63"/>
      <x:c r="J126" s="63"/>
      <x:c r="K126" s="18"/>
      <x:c r="L126" s="65"/>
      <x:c r="M126" s="18"/>
      <x:c r="N126" s="18"/>
      <x:c r="O126" s="18" t="str">
        <x:f>G126&amp;" vs "&amp;H126</x:f>
        <x:v> vs </x:v>
      </x:c>
      <x:c r="P126" s="60"/>
      <x:c r="Q126" s="18" t="str">
        <x:f>IF(K126="","Awaiting result","Final")</x:f>
        <x:v>Awaiting result</x:v>
      </x:c>
    </x:row>
    <x:row r="127">
      <x:c r="A127" s="18"/>
      <x:c r="B127" s="61"/>
      <x:c r="C127" s="18"/>
      <x:c r="D127" s="18"/>
      <x:c r="E127" s="18"/>
      <x:c r="F127" s="18"/>
      <x:c r="G127" s="18"/>
      <x:c r="H127" s="18"/>
      <x:c r="I127" s="63"/>
      <x:c r="J127" s="63"/>
      <x:c r="K127" s="18"/>
      <x:c r="L127" s="65"/>
      <x:c r="M127" s="18"/>
      <x:c r="N127" s="18"/>
      <x:c r="O127" s="18" t="str">
        <x:f>G127&amp;" vs "&amp;H127</x:f>
        <x:v> vs </x:v>
      </x:c>
      <x:c r="P127" s="60"/>
      <x:c r="Q127" s="18" t="str">
        <x:f>IF(K127="","Awaiting result","Final")</x:f>
        <x:v>Awaiting result</x:v>
      </x:c>
    </x:row>
    <x:row r="128">
      <x:c r="A128" s="18"/>
      <x:c r="B128" s="61"/>
      <x:c r="C128" s="18"/>
      <x:c r="D128" s="18"/>
      <x:c r="E128" s="18"/>
      <x:c r="F128" s="18"/>
      <x:c r="G128" s="18"/>
      <x:c r="H128" s="18"/>
      <x:c r="I128" s="63"/>
      <x:c r="J128" s="63"/>
      <x:c r="K128" s="18"/>
      <x:c r="L128" s="65"/>
      <x:c r="M128" s="18"/>
      <x:c r="N128" s="18"/>
      <x:c r="O128" s="18" t="str">
        <x:f>G128&amp;" vs "&amp;H128</x:f>
        <x:v> vs </x:v>
      </x:c>
      <x:c r="P128" s="60"/>
      <x:c r="Q128" s="18" t="str">
        <x:f>IF(K128="","Awaiting result","Final")</x:f>
        <x:v>Awaiting result</x:v>
      </x:c>
    </x:row>
    <x:row r="129">
      <x:c r="A129" s="18"/>
      <x:c r="B129" s="61"/>
      <x:c r="C129" s="18"/>
      <x:c r="D129" s="18"/>
      <x:c r="E129" s="18"/>
      <x:c r="F129" s="18"/>
      <x:c r="G129" s="18"/>
      <x:c r="H129" s="18"/>
      <x:c r="I129" s="63"/>
      <x:c r="J129" s="63"/>
      <x:c r="K129" s="18"/>
      <x:c r="L129" s="65"/>
      <x:c r="M129" s="18"/>
      <x:c r="N129" s="18"/>
      <x:c r="O129" s="18" t="str">
        <x:f>G129&amp;" vs "&amp;H129</x:f>
        <x:v> vs </x:v>
      </x:c>
      <x:c r="P129" s="60"/>
      <x:c r="Q129" s="18" t="str">
        <x:f>IF(K129="","Awaiting result","Final")</x:f>
        <x:v>Awaiting result</x:v>
      </x:c>
    </x:row>
    <x:row r="130">
      <x:c r="A130" s="18"/>
      <x:c r="B130" s="61"/>
      <x:c r="C130" s="18"/>
      <x:c r="D130" s="18"/>
      <x:c r="E130" s="18"/>
      <x:c r="F130" s="18"/>
      <x:c r="G130" s="18"/>
      <x:c r="H130" s="18"/>
      <x:c r="I130" s="63"/>
      <x:c r="J130" s="63"/>
      <x:c r="K130" s="18"/>
      <x:c r="L130" s="65"/>
      <x:c r="M130" s="18"/>
      <x:c r="N130" s="18"/>
      <x:c r="O130" s="18" t="str">
        <x:f>G130&amp;" vs "&amp;H130</x:f>
        <x:v> vs </x:v>
      </x:c>
      <x:c r="P130" s="60"/>
      <x:c r="Q130" s="18" t="str">
        <x:f>IF(K130="","Awaiting result","Final")</x:f>
        <x:v>Awaiting result</x:v>
      </x:c>
    </x:row>
    <x:row r="131">
      <x:c r="A131" s="18"/>
      <x:c r="B131" s="61"/>
      <x:c r="C131" s="18"/>
      <x:c r="D131" s="18"/>
      <x:c r="E131" s="18"/>
      <x:c r="F131" s="18"/>
      <x:c r="G131" s="18"/>
      <x:c r="H131" s="18"/>
      <x:c r="I131" s="63"/>
      <x:c r="J131" s="63"/>
      <x:c r="K131" s="18"/>
      <x:c r="L131" s="65"/>
      <x:c r="M131" s="18"/>
      <x:c r="N131" s="18"/>
      <x:c r="O131" s="18" t="str">
        <x:f>G131&amp;" vs "&amp;H131</x:f>
        <x:v> vs </x:v>
      </x:c>
      <x:c r="P131" s="60"/>
      <x:c r="Q131" s="18" t="str">
        <x:f>IF(K131="","Awaiting result","Final")</x:f>
        <x:v>Awaiting result</x:v>
      </x:c>
    </x:row>
    <x:row r="132">
      <x:c r="A132" s="18"/>
      <x:c r="B132" s="61"/>
      <x:c r="C132" s="18"/>
      <x:c r="D132" s="18"/>
      <x:c r="E132" s="18"/>
      <x:c r="F132" s="18"/>
      <x:c r="G132" s="18"/>
      <x:c r="H132" s="18"/>
      <x:c r="I132" s="63"/>
      <x:c r="J132" s="63"/>
      <x:c r="K132" s="18"/>
      <x:c r="L132" s="65"/>
      <x:c r="M132" s="18"/>
      <x:c r="N132" s="18"/>
      <x:c r="O132" s="18" t="str">
        <x:f>G132&amp;" vs "&amp;H132</x:f>
        <x:v> vs </x:v>
      </x:c>
      <x:c r="P132" s="60"/>
      <x:c r="Q132" s="18" t="str">
        <x:f>IF(K132="","Awaiting result","Final")</x:f>
        <x:v>Awaiting result</x:v>
      </x:c>
    </x:row>
    <x:row r="133">
      <x:c r="A133" s="18"/>
      <x:c r="B133" s="61"/>
      <x:c r="C133" s="18"/>
      <x:c r="D133" s="18"/>
      <x:c r="E133" s="18"/>
      <x:c r="F133" s="18"/>
      <x:c r="G133" s="18"/>
      <x:c r="H133" s="18"/>
      <x:c r="I133" s="63"/>
      <x:c r="J133" s="63"/>
      <x:c r="K133" s="18"/>
      <x:c r="L133" s="65"/>
      <x:c r="M133" s="18"/>
      <x:c r="N133" s="18"/>
      <x:c r="O133" s="18" t="str">
        <x:f>G133&amp;" vs "&amp;H133</x:f>
        <x:v> vs </x:v>
      </x:c>
      <x:c r="P133" s="60"/>
      <x:c r="Q133" s="18" t="str">
        <x:f>IF(K133="","Awaiting result","Final")</x:f>
        <x:v>Awaiting result</x:v>
      </x:c>
    </x:row>
    <x:row r="134">
      <x:c r="A134" s="18"/>
      <x:c r="B134" s="61"/>
      <x:c r="C134" s="18"/>
      <x:c r="D134" s="18"/>
      <x:c r="E134" s="18"/>
      <x:c r="F134" s="18"/>
      <x:c r="G134" s="18"/>
      <x:c r="H134" s="18"/>
      <x:c r="I134" s="63"/>
      <x:c r="J134" s="63"/>
      <x:c r="K134" s="18"/>
      <x:c r="L134" s="65"/>
      <x:c r="M134" s="18"/>
      <x:c r="N134" s="18"/>
      <x:c r="O134" s="18" t="str">
        <x:f>G134&amp;" vs "&amp;H134</x:f>
        <x:v> vs </x:v>
      </x:c>
      <x:c r="P134" s="60"/>
      <x:c r="Q134" s="18" t="str">
        <x:f>IF(K134="","Awaiting result","Final")</x:f>
        <x:v>Awaiting result</x:v>
      </x:c>
    </x:row>
    <x:row r="135">
      <x:c r="A135" s="18"/>
      <x:c r="B135" s="61"/>
      <x:c r="C135" s="18"/>
      <x:c r="D135" s="18"/>
      <x:c r="E135" s="18"/>
      <x:c r="F135" s="18"/>
      <x:c r="G135" s="18"/>
      <x:c r="H135" s="18"/>
      <x:c r="I135" s="63"/>
      <x:c r="J135" s="63"/>
      <x:c r="K135" s="18"/>
      <x:c r="L135" s="65"/>
      <x:c r="M135" s="18"/>
      <x:c r="N135" s="18"/>
      <x:c r="O135" s="18" t="str">
        <x:f>G135&amp;" vs "&amp;H135</x:f>
        <x:v> vs </x:v>
      </x:c>
      <x:c r="P135" s="60"/>
      <x:c r="Q135" s="18" t="str">
        <x:f>IF(K135="","Awaiting result","Final")</x:f>
        <x:v>Awaiting result</x:v>
      </x:c>
    </x:row>
    <x:row r="136">
      <x:c r="A136" s="18"/>
      <x:c r="B136" s="61"/>
      <x:c r="C136" s="18"/>
      <x:c r="D136" s="18"/>
      <x:c r="E136" s="18"/>
      <x:c r="F136" s="18"/>
      <x:c r="G136" s="18"/>
      <x:c r="H136" s="18"/>
      <x:c r="I136" s="63"/>
      <x:c r="J136" s="63"/>
      <x:c r="K136" s="18"/>
      <x:c r="L136" s="65"/>
      <x:c r="M136" s="18"/>
      <x:c r="N136" s="18"/>
      <x:c r="O136" s="18" t="str">
        <x:f>G136&amp;" vs "&amp;H136</x:f>
        <x:v> vs </x:v>
      </x:c>
      <x:c r="P136" s="60"/>
      <x:c r="Q136" s="18" t="str">
        <x:f>IF(K136="","Awaiting result","Final")</x:f>
        <x:v>Awaiting result</x:v>
      </x:c>
    </x:row>
    <x:row r="137">
      <x:c r="A137" s="18"/>
      <x:c r="B137" s="61"/>
      <x:c r="C137" s="18"/>
      <x:c r="D137" s="18"/>
      <x:c r="E137" s="18"/>
      <x:c r="F137" s="18"/>
      <x:c r="G137" s="18"/>
      <x:c r="H137" s="18"/>
      <x:c r="I137" s="63"/>
      <x:c r="J137" s="63"/>
      <x:c r="K137" s="18"/>
      <x:c r="L137" s="65"/>
      <x:c r="M137" s="18"/>
      <x:c r="N137" s="18"/>
      <x:c r="O137" s="18" t="str">
        <x:f>G137&amp;" vs "&amp;H137</x:f>
        <x:v> vs </x:v>
      </x:c>
      <x:c r="P137" s="60"/>
      <x:c r="Q137" s="18" t="str">
        <x:f>IF(K137="","Awaiting result","Final")</x:f>
        <x:v>Awaiting result</x:v>
      </x:c>
    </x:row>
    <x:row r="138">
      <x:c r="A138" s="18"/>
      <x:c r="B138" s="61"/>
      <x:c r="C138" s="18"/>
      <x:c r="D138" s="18"/>
      <x:c r="E138" s="18"/>
      <x:c r="F138" s="18"/>
      <x:c r="G138" s="18"/>
      <x:c r="H138" s="18"/>
      <x:c r="I138" s="63"/>
      <x:c r="J138" s="63"/>
      <x:c r="K138" s="18"/>
      <x:c r="L138" s="65"/>
      <x:c r="M138" s="18"/>
      <x:c r="N138" s="18"/>
      <x:c r="O138" s="18" t="str">
        <x:f>G138&amp;" vs "&amp;H138</x:f>
        <x:v> vs </x:v>
      </x:c>
      <x:c r="P138" s="60"/>
      <x:c r="Q138" s="18" t="str">
        <x:f>IF(K138="","Awaiting result","Final")</x:f>
        <x:v>Awaiting result</x:v>
      </x:c>
    </x:row>
    <x:row r="139">
      <x:c r="A139" s="18"/>
      <x:c r="B139" s="61"/>
      <x:c r="C139" s="18"/>
      <x:c r="D139" s="18"/>
      <x:c r="E139" s="18"/>
      <x:c r="F139" s="18"/>
      <x:c r="G139" s="18"/>
      <x:c r="H139" s="18"/>
      <x:c r="I139" s="63"/>
      <x:c r="J139" s="63"/>
      <x:c r="K139" s="18"/>
      <x:c r="L139" s="65"/>
      <x:c r="M139" s="18"/>
      <x:c r="N139" s="18"/>
      <x:c r="O139" s="18" t="str">
        <x:f>G139&amp;" vs "&amp;H139</x:f>
        <x:v> vs </x:v>
      </x:c>
      <x:c r="P139" s="60"/>
      <x:c r="Q139" s="18" t="str">
        <x:f>IF(K139="","Awaiting result","Final")</x:f>
        <x:v>Awaiting result</x:v>
      </x:c>
    </x:row>
    <x:row r="140">
      <x:c r="A140" s="18"/>
      <x:c r="B140" s="61"/>
      <x:c r="C140" s="18"/>
      <x:c r="D140" s="18"/>
      <x:c r="E140" s="18"/>
      <x:c r="F140" s="18"/>
      <x:c r="G140" s="18"/>
      <x:c r="H140" s="18"/>
      <x:c r="I140" s="63"/>
      <x:c r="J140" s="63"/>
      <x:c r="K140" s="18"/>
      <x:c r="L140" s="65"/>
      <x:c r="M140" s="18"/>
      <x:c r="N140" s="18"/>
      <x:c r="O140" s="18" t="str">
        <x:f>G140&amp;" vs "&amp;H140</x:f>
        <x:v> vs </x:v>
      </x:c>
      <x:c r="P140" s="60"/>
      <x:c r="Q140" s="18" t="str">
        <x:f>IF(K140="","Awaiting result","Final")</x:f>
        <x:v>Awaiting result</x:v>
      </x:c>
    </x:row>
    <x:row r="141">
      <x:c r="A141" s="18"/>
      <x:c r="B141" s="61"/>
      <x:c r="C141" s="18"/>
      <x:c r="D141" s="18"/>
      <x:c r="E141" s="18"/>
      <x:c r="F141" s="18"/>
      <x:c r="G141" s="18"/>
      <x:c r="H141" s="18"/>
      <x:c r="I141" s="63"/>
      <x:c r="J141" s="63"/>
      <x:c r="K141" s="18"/>
      <x:c r="L141" s="65"/>
      <x:c r="M141" s="18"/>
      <x:c r="N141" s="18"/>
      <x:c r="O141" s="18" t="str">
        <x:f>G141&amp;" vs "&amp;H141</x:f>
        <x:v> vs </x:v>
      </x:c>
      <x:c r="P141" s="60"/>
      <x:c r="Q141" s="18" t="str">
        <x:f>IF(K141="","Awaiting result","Final")</x:f>
        <x:v>Awaiting result</x:v>
      </x:c>
    </x:row>
    <x:row r="142">
      <x:c r="A142" s="18"/>
      <x:c r="B142" s="61"/>
      <x:c r="C142" s="18"/>
      <x:c r="D142" s="18"/>
      <x:c r="E142" s="18"/>
      <x:c r="F142" s="18"/>
      <x:c r="G142" s="18"/>
      <x:c r="H142" s="18"/>
      <x:c r="I142" s="63"/>
      <x:c r="J142" s="63"/>
      <x:c r="K142" s="18"/>
      <x:c r="L142" s="65"/>
      <x:c r="M142" s="18"/>
      <x:c r="N142" s="18"/>
      <x:c r="O142" s="18" t="str">
        <x:f>G142&amp;" vs "&amp;H142</x:f>
        <x:v> vs </x:v>
      </x:c>
      <x:c r="P142" s="60"/>
      <x:c r="Q142" s="18" t="str">
        <x:f>IF(K142="","Awaiting result","Final")</x:f>
        <x:v>Awaiting result</x:v>
      </x:c>
    </x:row>
    <x:row r="143">
      <x:c r="A143" s="18"/>
      <x:c r="B143" s="61"/>
      <x:c r="C143" s="18"/>
      <x:c r="D143" s="18"/>
      <x:c r="E143" s="18"/>
      <x:c r="F143" s="18"/>
      <x:c r="G143" s="18"/>
      <x:c r="H143" s="18"/>
      <x:c r="I143" s="63"/>
      <x:c r="J143" s="63"/>
      <x:c r="K143" s="18"/>
      <x:c r="L143" s="65"/>
      <x:c r="M143" s="18"/>
      <x:c r="N143" s="18"/>
      <x:c r="O143" s="18" t="str">
        <x:f>G143&amp;" vs "&amp;H143</x:f>
        <x:v> vs </x:v>
      </x:c>
      <x:c r="P143" s="60"/>
      <x:c r="Q143" s="18" t="str">
        <x:f>IF(K143="","Awaiting result","Final")</x:f>
        <x:v>Awaiting result</x:v>
      </x:c>
    </x:row>
    <x:row r="144">
      <x:c r="A144" s="18"/>
      <x:c r="B144" s="61"/>
      <x:c r="C144" s="18"/>
      <x:c r="D144" s="18"/>
      <x:c r="E144" s="18"/>
      <x:c r="F144" s="18"/>
      <x:c r="G144" s="18"/>
      <x:c r="H144" s="18"/>
      <x:c r="I144" s="63"/>
      <x:c r="J144" s="63"/>
      <x:c r="K144" s="18"/>
      <x:c r="L144" s="65"/>
      <x:c r="M144" s="18"/>
      <x:c r="N144" s="18"/>
      <x:c r="O144" s="18" t="str">
        <x:f>G144&amp;" vs "&amp;H144</x:f>
        <x:v> vs </x:v>
      </x:c>
      <x:c r="P144" s="60"/>
      <x:c r="Q144" s="18" t="str">
        <x:f>IF(K144="","Awaiting result","Final")</x:f>
        <x:v>Awaiting result</x:v>
      </x:c>
    </x:row>
    <x:row r="145">
      <x:c r="A145" s="18"/>
      <x:c r="B145" s="61"/>
      <x:c r="C145" s="18"/>
      <x:c r="D145" s="18"/>
      <x:c r="E145" s="18"/>
      <x:c r="F145" s="18"/>
      <x:c r="G145" s="18"/>
      <x:c r="H145" s="18"/>
      <x:c r="I145" s="63"/>
      <x:c r="J145" s="63"/>
      <x:c r="K145" s="18"/>
      <x:c r="L145" s="65"/>
      <x:c r="M145" s="18"/>
      <x:c r="N145" s="18"/>
      <x:c r="O145" s="18" t="str">
        <x:f>G145&amp;" vs "&amp;H145</x:f>
        <x:v> vs </x:v>
      </x:c>
      <x:c r="P145" s="60"/>
      <x:c r="Q145" s="18" t="str">
        <x:f>IF(K145="","Awaiting result","Final")</x:f>
        <x:v>Awaiting result</x:v>
      </x:c>
    </x:row>
    <x:row r="146">
      <x:c r="A146" s="18"/>
      <x:c r="B146" s="61"/>
      <x:c r="C146" s="18"/>
      <x:c r="D146" s="18"/>
      <x:c r="E146" s="18"/>
      <x:c r="F146" s="18"/>
      <x:c r="G146" s="18"/>
      <x:c r="H146" s="18"/>
      <x:c r="I146" s="63"/>
      <x:c r="J146" s="63"/>
      <x:c r="K146" s="18"/>
      <x:c r="L146" s="65"/>
      <x:c r="M146" s="18"/>
      <x:c r="N146" s="18"/>
      <x:c r="O146" s="18" t="str">
        <x:f>G146&amp;" vs "&amp;H146</x:f>
        <x:v> vs </x:v>
      </x:c>
      <x:c r="P146" s="60"/>
      <x:c r="Q146" s="18" t="str">
        <x:f>IF(K146="","Awaiting result","Final")</x:f>
        <x:v>Awaiting result</x:v>
      </x:c>
    </x:row>
    <x:row r="147">
      <x:c r="A147" s="18"/>
      <x:c r="B147" s="61"/>
      <x:c r="C147" s="18"/>
      <x:c r="D147" s="18"/>
      <x:c r="E147" s="18"/>
      <x:c r="F147" s="18"/>
      <x:c r="G147" s="18"/>
      <x:c r="H147" s="18"/>
      <x:c r="I147" s="63"/>
      <x:c r="J147" s="63"/>
      <x:c r="K147" s="18"/>
      <x:c r="L147" s="65"/>
      <x:c r="M147" s="18"/>
      <x:c r="N147" s="18"/>
      <x:c r="O147" s="18" t="str">
        <x:f>G147&amp;" vs "&amp;H147</x:f>
        <x:v> vs </x:v>
      </x:c>
      <x:c r="P147" s="60"/>
      <x:c r="Q147" s="18" t="str">
        <x:f>IF(K147="","Awaiting result","Final")</x:f>
        <x:v>Awaiting result</x:v>
      </x:c>
    </x:row>
    <x:row r="148">
      <x:c r="A148" s="18"/>
      <x:c r="B148" s="61"/>
      <x:c r="C148" s="18"/>
      <x:c r="D148" s="18"/>
      <x:c r="E148" s="18"/>
      <x:c r="F148" s="18"/>
      <x:c r="G148" s="18"/>
      <x:c r="H148" s="18"/>
      <x:c r="I148" s="63"/>
      <x:c r="J148" s="63"/>
      <x:c r="K148" s="18"/>
      <x:c r="L148" s="65"/>
      <x:c r="M148" s="18"/>
      <x:c r="N148" s="18"/>
      <x:c r="O148" s="18" t="str">
        <x:f>G148&amp;" vs "&amp;H148</x:f>
        <x:v> vs </x:v>
      </x:c>
      <x:c r="P148" s="60"/>
      <x:c r="Q148" s="18" t="str">
        <x:f>IF(K148="","Awaiting result","Final")</x:f>
        <x:v>Awaiting result</x:v>
      </x:c>
    </x:row>
    <x:row r="149">
      <x:c r="A149" s="18"/>
      <x:c r="B149" s="61"/>
      <x:c r="C149" s="18"/>
      <x:c r="D149" s="18"/>
      <x:c r="E149" s="18"/>
      <x:c r="F149" s="18"/>
      <x:c r="G149" s="18"/>
      <x:c r="H149" s="18"/>
      <x:c r="I149" s="63"/>
      <x:c r="J149" s="63"/>
      <x:c r="K149" s="18"/>
      <x:c r="L149" s="65"/>
      <x:c r="M149" s="18"/>
      <x:c r="N149" s="18"/>
      <x:c r="O149" s="18" t="str">
        <x:f>G149&amp;" vs "&amp;H149</x:f>
        <x:v> vs </x:v>
      </x:c>
      <x:c r="P149" s="60"/>
      <x:c r="Q149" s="18" t="str">
        <x:f>IF(K149="","Awaiting result","Final")</x:f>
        <x:v>Awaiting result</x:v>
      </x:c>
    </x:row>
    <x:row r="150">
      <x:c r="A150" s="18"/>
      <x:c r="B150" s="61"/>
      <x:c r="C150" s="18"/>
      <x:c r="D150" s="18"/>
      <x:c r="E150" s="18"/>
      <x:c r="F150" s="18"/>
      <x:c r="G150" s="18"/>
      <x:c r="H150" s="18"/>
      <x:c r="I150" s="63"/>
      <x:c r="J150" s="63"/>
      <x:c r="K150" s="18"/>
      <x:c r="L150" s="65"/>
      <x:c r="M150" s="18"/>
      <x:c r="N150" s="18"/>
      <x:c r="O150" s="18" t="str">
        <x:f>G150&amp;" vs "&amp;H150</x:f>
        <x:v> vs </x:v>
      </x:c>
      <x:c r="P150" s="60"/>
      <x:c r="Q150" s="18" t="str">
        <x:f>IF(K150="","Awaiting result","Final")</x:f>
        <x:v>Awaiting result</x:v>
      </x:c>
    </x:row>
    <x:row r="151">
      <x:c r="A151" s="18"/>
      <x:c r="B151" s="61"/>
      <x:c r="C151" s="18"/>
      <x:c r="D151" s="18"/>
      <x:c r="E151" s="18"/>
      <x:c r="F151" s="18"/>
      <x:c r="G151" s="18"/>
      <x:c r="H151" s="18"/>
      <x:c r="I151" s="63"/>
      <x:c r="J151" s="63"/>
      <x:c r="K151" s="18"/>
      <x:c r="L151" s="65"/>
      <x:c r="M151" s="18"/>
      <x:c r="N151" s="18"/>
      <x:c r="O151" s="18" t="str">
        <x:f>G151&amp;" vs "&amp;H151</x:f>
        <x:v> vs </x:v>
      </x:c>
      <x:c r="P151" s="60"/>
      <x:c r="Q151" s="18" t="str">
        <x:f>IF(K151="","Awaiting result","Final")</x:f>
        <x:v>Awaiting result</x:v>
      </x:c>
    </x:row>
    <x:row r="152">
      <x:c r="A152" s="18"/>
      <x:c r="B152" s="61"/>
      <x:c r="C152" s="18"/>
      <x:c r="D152" s="18"/>
      <x:c r="E152" s="18"/>
      <x:c r="F152" s="18"/>
      <x:c r="G152" s="18"/>
      <x:c r="H152" s="18"/>
      <x:c r="I152" s="63"/>
      <x:c r="J152" s="63"/>
      <x:c r="K152" s="18"/>
      <x:c r="L152" s="65"/>
      <x:c r="M152" s="18"/>
      <x:c r="N152" s="18"/>
      <x:c r="O152" s="18" t="str">
        <x:f>G152&amp;" vs "&amp;H152</x:f>
        <x:v> vs </x:v>
      </x:c>
      <x:c r="P152" s="60"/>
      <x:c r="Q152" s="18" t="str">
        <x:f>IF(K152="","Awaiting result","Final")</x:f>
        <x:v>Awaiting result</x:v>
      </x:c>
    </x:row>
    <x:row r="153">
      <x:c r="A153" s="18"/>
      <x:c r="B153" s="61"/>
      <x:c r="C153" s="18"/>
      <x:c r="D153" s="18"/>
      <x:c r="E153" s="18"/>
      <x:c r="F153" s="18"/>
      <x:c r="G153" s="18"/>
      <x:c r="H153" s="18"/>
      <x:c r="I153" s="63"/>
      <x:c r="J153" s="63"/>
      <x:c r="K153" s="18"/>
      <x:c r="L153" s="65"/>
      <x:c r="M153" s="18"/>
      <x:c r="N153" s="18"/>
      <x:c r="O153" s="18" t="str">
        <x:f>G153&amp;" vs "&amp;H153</x:f>
        <x:v> vs </x:v>
      </x:c>
      <x:c r="P153" s="60"/>
      <x:c r="Q153" s="18" t="str">
        <x:f>IF(K153="","Awaiting result","Final")</x:f>
        <x:v>Awaiting result</x:v>
      </x:c>
    </x:row>
    <x:row r="154">
      <x:c r="A154" s="18"/>
      <x:c r="B154" s="61"/>
      <x:c r="C154" s="18"/>
      <x:c r="D154" s="18"/>
      <x:c r="E154" s="18"/>
      <x:c r="F154" s="18"/>
      <x:c r="G154" s="18"/>
      <x:c r="H154" s="18"/>
      <x:c r="I154" s="63"/>
      <x:c r="J154" s="63"/>
      <x:c r="K154" s="18"/>
      <x:c r="L154" s="65"/>
      <x:c r="M154" s="18"/>
      <x:c r="N154" s="18"/>
      <x:c r="O154" s="18" t="str">
        <x:f>G154&amp;" vs "&amp;H154</x:f>
        <x:v> vs </x:v>
      </x:c>
      <x:c r="P154" s="60"/>
      <x:c r="Q154" s="18" t="str">
        <x:f>IF(K154="","Awaiting result","Final")</x:f>
        <x:v>Awaiting result</x:v>
      </x:c>
    </x:row>
    <x:row r="155">
      <x:c r="A155" s="18"/>
      <x:c r="B155" s="61"/>
      <x:c r="C155" s="18"/>
      <x:c r="D155" s="18"/>
      <x:c r="E155" s="18"/>
      <x:c r="F155" s="18"/>
      <x:c r="G155" s="18"/>
      <x:c r="H155" s="18"/>
      <x:c r="I155" s="63"/>
      <x:c r="J155" s="63"/>
      <x:c r="K155" s="18"/>
      <x:c r="L155" s="65"/>
      <x:c r="M155" s="18"/>
      <x:c r="N155" s="18"/>
      <x:c r="O155" s="18" t="str">
        <x:f>G155&amp;" vs "&amp;H155</x:f>
        <x:v> vs </x:v>
      </x:c>
      <x:c r="P155" s="60"/>
      <x:c r="Q155" s="18" t="str">
        <x:f>IF(K155="","Awaiting result","Final")</x:f>
        <x:v>Awaiting result</x:v>
      </x:c>
    </x:row>
    <x:row r="156">
      <x:c r="A156" s="18"/>
      <x:c r="B156" s="61"/>
      <x:c r="C156" s="18"/>
      <x:c r="D156" s="18"/>
      <x:c r="E156" s="18"/>
      <x:c r="F156" s="18"/>
      <x:c r="G156" s="18"/>
      <x:c r="H156" s="18"/>
      <x:c r="I156" s="63"/>
      <x:c r="J156" s="63"/>
      <x:c r="K156" s="18"/>
      <x:c r="L156" s="65"/>
      <x:c r="M156" s="18"/>
      <x:c r="N156" s="18"/>
      <x:c r="O156" s="18" t="str">
        <x:f>G156&amp;" vs "&amp;H156</x:f>
        <x:v> vs </x:v>
      </x:c>
      <x:c r="P156" s="60"/>
      <x:c r="Q156" s="18" t="str">
        <x:f>IF(K156="","Awaiting result","Final")</x:f>
        <x:v>Awaiting result</x:v>
      </x:c>
    </x:row>
    <x:row r="157">
      <x:c r="A157" s="18"/>
      <x:c r="B157" s="61"/>
      <x:c r="C157" s="18"/>
      <x:c r="D157" s="18"/>
      <x:c r="E157" s="18"/>
      <x:c r="F157" s="18"/>
      <x:c r="G157" s="18"/>
      <x:c r="H157" s="18"/>
      <x:c r="I157" s="63"/>
      <x:c r="J157" s="63"/>
      <x:c r="K157" s="18"/>
      <x:c r="L157" s="65"/>
      <x:c r="M157" s="18"/>
      <x:c r="N157" s="18"/>
      <x:c r="O157" s="18" t="str">
        <x:f>G157&amp;" vs "&amp;H157</x:f>
        <x:v> vs </x:v>
      </x:c>
      <x:c r="P157" s="60"/>
      <x:c r="Q157" s="18" t="str">
        <x:f>IF(K157="","Awaiting result","Final")</x:f>
        <x:v>Awaiting result</x:v>
      </x:c>
    </x:row>
    <x:row r="158">
      <x:c r="A158" s="18"/>
      <x:c r="B158" s="61"/>
      <x:c r="C158" s="18"/>
      <x:c r="D158" s="18"/>
      <x:c r="E158" s="18"/>
      <x:c r="F158" s="18"/>
      <x:c r="G158" s="18"/>
      <x:c r="H158" s="18"/>
      <x:c r="I158" s="63"/>
      <x:c r="J158" s="63"/>
      <x:c r="K158" s="18"/>
      <x:c r="L158" s="65"/>
      <x:c r="M158" s="18"/>
      <x:c r="N158" s="18"/>
      <x:c r="O158" s="18" t="str">
        <x:f>G158&amp;" vs "&amp;H158</x:f>
        <x:v> vs </x:v>
      </x:c>
      <x:c r="P158" s="60"/>
      <x:c r="Q158" s="18" t="str">
        <x:f>IF(K158="","Awaiting result","Final")</x:f>
        <x:v>Awaiting result</x:v>
      </x:c>
    </x:row>
    <x:row r="159">
      <x:c r="A159" s="18"/>
      <x:c r="B159" s="61"/>
      <x:c r="C159" s="18"/>
      <x:c r="D159" s="18"/>
      <x:c r="E159" s="18"/>
      <x:c r="F159" s="18"/>
      <x:c r="G159" s="18"/>
      <x:c r="H159" s="18"/>
      <x:c r="I159" s="63"/>
      <x:c r="J159" s="63"/>
      <x:c r="K159" s="18"/>
      <x:c r="L159" s="65"/>
      <x:c r="M159" s="18"/>
      <x:c r="N159" s="18"/>
      <x:c r="O159" s="18" t="str">
        <x:f>G159&amp;" vs "&amp;H159</x:f>
        <x:v> vs </x:v>
      </x:c>
      <x:c r="P159" s="60"/>
      <x:c r="Q159" s="18" t="str">
        <x:f>IF(K159="","Awaiting result","Final")</x:f>
        <x:v>Awaiting result</x:v>
      </x:c>
    </x:row>
    <x:row r="160">
      <x:c r="A160" s="18"/>
      <x:c r="B160" s="61"/>
      <x:c r="C160" s="18"/>
      <x:c r="D160" s="18"/>
      <x:c r="E160" s="18"/>
      <x:c r="F160" s="18"/>
      <x:c r="G160" s="18"/>
      <x:c r="H160" s="18"/>
      <x:c r="I160" s="63"/>
      <x:c r="J160" s="63"/>
      <x:c r="K160" s="18"/>
      <x:c r="L160" s="65"/>
      <x:c r="M160" s="18"/>
      <x:c r="N160" s="18"/>
      <x:c r="O160" s="18" t="str">
        <x:f>G160&amp;" vs "&amp;H160</x:f>
        <x:v> vs </x:v>
      </x:c>
      <x:c r="P160" s="60"/>
      <x:c r="Q160" s="18" t="str">
        <x:f>IF(K160="","Awaiting result","Final")</x:f>
        <x:v>Awaiting result</x:v>
      </x:c>
    </x:row>
    <x:row r="161">
      <x:c r="A161" s="18"/>
      <x:c r="B161" s="61"/>
      <x:c r="C161" s="18"/>
      <x:c r="D161" s="18"/>
      <x:c r="E161" s="18"/>
      <x:c r="F161" s="18"/>
      <x:c r="G161" s="18"/>
      <x:c r="H161" s="18"/>
      <x:c r="I161" s="63"/>
      <x:c r="J161" s="63"/>
      <x:c r="K161" s="18"/>
      <x:c r="L161" s="65"/>
      <x:c r="M161" s="18"/>
      <x:c r="N161" s="18"/>
      <x:c r="O161" s="18" t="str">
        <x:f>G161&amp;" vs "&amp;H161</x:f>
        <x:v> vs </x:v>
      </x:c>
      <x:c r="P161" s="60"/>
      <x:c r="Q161" s="18" t="str">
        <x:f>IF(K161="","Awaiting result","Final")</x:f>
        <x:v>Awaiting result</x:v>
      </x:c>
    </x:row>
    <x:row r="162">
      <x:c r="A162" s="18"/>
      <x:c r="B162" s="61"/>
      <x:c r="C162" s="18"/>
      <x:c r="D162" s="18"/>
      <x:c r="E162" s="18"/>
      <x:c r="F162" s="18"/>
      <x:c r="G162" s="18"/>
      <x:c r="H162" s="18"/>
      <x:c r="I162" s="63"/>
      <x:c r="J162" s="63"/>
      <x:c r="K162" s="18"/>
      <x:c r="L162" s="65"/>
      <x:c r="M162" s="18"/>
      <x:c r="N162" s="18"/>
      <x:c r="O162" s="18" t="str">
        <x:f>G162&amp;" vs "&amp;H162</x:f>
        <x:v> vs </x:v>
      </x:c>
      <x:c r="P162" s="60"/>
      <x:c r="Q162" s="18" t="str">
        <x:f>IF(K162="","Awaiting result","Final")</x:f>
        <x:v>Awaiting result</x:v>
      </x:c>
    </x:row>
    <x:row r="163">
      <x:c r="A163" s="18"/>
      <x:c r="B163" s="61"/>
      <x:c r="C163" s="18"/>
      <x:c r="D163" s="18"/>
      <x:c r="E163" s="18"/>
      <x:c r="F163" s="18"/>
      <x:c r="G163" s="18"/>
      <x:c r="H163" s="18"/>
      <x:c r="I163" s="63"/>
      <x:c r="J163" s="63"/>
      <x:c r="K163" s="18"/>
      <x:c r="L163" s="65"/>
      <x:c r="M163" s="18"/>
      <x:c r="N163" s="18"/>
      <x:c r="O163" s="18" t="str">
        <x:f>G163&amp;" vs "&amp;H163</x:f>
        <x:v> vs </x:v>
      </x:c>
      <x:c r="P163" s="60"/>
      <x:c r="Q163" s="18" t="str">
        <x:f>IF(K163="","Awaiting result","Final")</x:f>
        <x:v>Awaiting result</x:v>
      </x:c>
    </x:row>
    <x:row r="164">
      <x:c r="A164" s="18"/>
      <x:c r="B164" s="61"/>
      <x:c r="C164" s="18"/>
      <x:c r="D164" s="18"/>
      <x:c r="E164" s="18"/>
      <x:c r="F164" s="18"/>
      <x:c r="G164" s="18"/>
      <x:c r="H164" s="18"/>
      <x:c r="I164" s="63"/>
      <x:c r="J164" s="63"/>
      <x:c r="K164" s="18"/>
      <x:c r="L164" s="65"/>
      <x:c r="M164" s="18"/>
      <x:c r="N164" s="18"/>
      <x:c r="O164" s="18" t="str">
        <x:f>G164&amp;" vs "&amp;H164</x:f>
        <x:v> vs </x:v>
      </x:c>
      <x:c r="P164" s="60"/>
      <x:c r="Q164" s="18" t="str">
        <x:f>IF(K164="","Awaiting result","Final")</x:f>
        <x:v>Awaiting result</x:v>
      </x:c>
    </x:row>
    <x:row r="165">
      <x:c r="A165" s="18"/>
      <x:c r="B165" s="61"/>
      <x:c r="C165" s="18"/>
      <x:c r="D165" s="18"/>
      <x:c r="E165" s="18"/>
      <x:c r="F165" s="18"/>
      <x:c r="G165" s="18"/>
      <x:c r="H165" s="18"/>
      <x:c r="I165" s="63"/>
      <x:c r="J165" s="63"/>
      <x:c r="K165" s="18"/>
      <x:c r="L165" s="65"/>
      <x:c r="M165" s="18"/>
      <x:c r="N165" s="18"/>
      <x:c r="O165" s="18" t="str">
        <x:f>G165&amp;" vs "&amp;H165</x:f>
        <x:v> vs </x:v>
      </x:c>
      <x:c r="P165" s="60"/>
      <x:c r="Q165" s="18" t="str">
        <x:f>IF(K165="","Awaiting result","Final")</x:f>
        <x:v>Awaiting result</x:v>
      </x:c>
    </x:row>
    <x:row r="166">
      <x:c r="A166" s="18"/>
      <x:c r="B166" s="61"/>
      <x:c r="C166" s="18"/>
      <x:c r="D166" s="18"/>
      <x:c r="E166" s="18"/>
      <x:c r="F166" s="18"/>
      <x:c r="G166" s="18"/>
      <x:c r="H166" s="18"/>
      <x:c r="I166" s="63"/>
      <x:c r="J166" s="63"/>
      <x:c r="K166" s="18"/>
      <x:c r="L166" s="65"/>
      <x:c r="M166" s="18"/>
      <x:c r="N166" s="18"/>
      <x:c r="O166" s="18" t="str">
        <x:f>G166&amp;" vs "&amp;H166</x:f>
        <x:v> vs </x:v>
      </x:c>
      <x:c r="P166" s="60"/>
      <x:c r="Q166" s="18" t="str">
        <x:f>IF(K166="","Awaiting result","Final")</x:f>
        <x:v>Awaiting result</x:v>
      </x:c>
    </x:row>
    <x:row r="167">
      <x:c r="A167" s="18"/>
      <x:c r="B167" s="61"/>
      <x:c r="C167" s="18"/>
      <x:c r="D167" s="18"/>
      <x:c r="E167" s="18"/>
      <x:c r="F167" s="18"/>
      <x:c r="G167" s="18"/>
      <x:c r="H167" s="18"/>
      <x:c r="I167" s="63"/>
      <x:c r="J167" s="63"/>
      <x:c r="K167" s="18"/>
      <x:c r="L167" s="65"/>
      <x:c r="M167" s="18"/>
      <x:c r="N167" s="18"/>
      <x:c r="O167" s="18" t="str">
        <x:f>G167&amp;" vs "&amp;H167</x:f>
        <x:v> vs </x:v>
      </x:c>
      <x:c r="P167" s="60"/>
      <x:c r="Q167" s="18" t="str">
        <x:f>IF(K167="","Awaiting result","Final")</x:f>
        <x:v>Awaiting result</x:v>
      </x:c>
    </x:row>
    <x:row r="168">
      <x:c r="A168" s="18"/>
      <x:c r="B168" s="61"/>
      <x:c r="C168" s="18"/>
      <x:c r="D168" s="18"/>
      <x:c r="E168" s="18"/>
      <x:c r="F168" s="18"/>
      <x:c r="G168" s="18"/>
      <x:c r="H168" s="18"/>
      <x:c r="I168" s="63"/>
      <x:c r="J168" s="63"/>
      <x:c r="K168" s="18"/>
      <x:c r="L168" s="65"/>
      <x:c r="M168" s="18"/>
      <x:c r="N168" s="18"/>
      <x:c r="O168" s="18" t="str">
        <x:f>G168&amp;" vs "&amp;H168</x:f>
        <x:v> vs </x:v>
      </x:c>
      <x:c r="P168" s="60"/>
      <x:c r="Q168" s="18" t="str">
        <x:f>IF(K168="","Awaiting result","Final")</x:f>
        <x:v>Awaiting result</x:v>
      </x:c>
    </x:row>
    <x:row r="169">
      <x:c r="A169" s="18"/>
      <x:c r="B169" s="61"/>
      <x:c r="C169" s="18"/>
      <x:c r="D169" s="18"/>
      <x:c r="E169" s="18"/>
      <x:c r="F169" s="18"/>
      <x:c r="G169" s="18"/>
      <x:c r="H169" s="18"/>
      <x:c r="I169" s="63"/>
      <x:c r="J169" s="63"/>
      <x:c r="K169" s="18"/>
      <x:c r="L169" s="65"/>
      <x:c r="M169" s="18"/>
      <x:c r="N169" s="18"/>
      <x:c r="O169" s="18" t="str">
        <x:f>G169&amp;" vs "&amp;H169</x:f>
        <x:v> vs </x:v>
      </x:c>
      <x:c r="P169" s="60"/>
      <x:c r="Q169" s="18" t="str">
        <x:f>IF(K169="","Awaiting result","Final")</x:f>
        <x:v>Awaiting result</x:v>
      </x:c>
    </x:row>
    <x:row r="170">
      <x:c r="A170" s="18"/>
      <x:c r="B170" s="61"/>
      <x:c r="C170" s="18"/>
      <x:c r="D170" s="18"/>
      <x:c r="E170" s="18"/>
      <x:c r="F170" s="18"/>
      <x:c r="G170" s="18"/>
      <x:c r="H170" s="18"/>
      <x:c r="I170" s="63"/>
      <x:c r="J170" s="63"/>
      <x:c r="K170" s="18"/>
      <x:c r="L170" s="65"/>
      <x:c r="M170" s="18"/>
      <x:c r="N170" s="18"/>
      <x:c r="O170" s="18" t="str">
        <x:f>G170&amp;" vs "&amp;H170</x:f>
        <x:v> vs </x:v>
      </x:c>
      <x:c r="P170" s="60"/>
      <x:c r="Q170" s="18" t="str">
        <x:f>IF(K170="","Awaiting result","Final")</x:f>
        <x:v>Awaiting result</x:v>
      </x:c>
    </x:row>
    <x:row r="171">
      <x:c r="A171" s="18"/>
      <x:c r="B171" s="61"/>
      <x:c r="C171" s="18"/>
      <x:c r="D171" s="18"/>
      <x:c r="E171" s="18"/>
      <x:c r="F171" s="18"/>
      <x:c r="G171" s="18"/>
      <x:c r="H171" s="18"/>
      <x:c r="I171" s="63"/>
      <x:c r="J171" s="63"/>
      <x:c r="K171" s="18"/>
      <x:c r="L171" s="65"/>
      <x:c r="M171" s="18"/>
      <x:c r="N171" s="18"/>
      <x:c r="O171" s="18" t="str">
        <x:f>G171&amp;" vs "&amp;H171</x:f>
        <x:v> vs </x:v>
      </x:c>
      <x:c r="P171" s="60"/>
      <x:c r="Q171" s="18" t="str">
        <x:f>IF(K171="","Awaiting result","Final")</x:f>
        <x:v>Awaiting result</x:v>
      </x:c>
    </x:row>
    <x:row r="172">
      <x:c r="A172" s="18"/>
      <x:c r="B172" s="61"/>
      <x:c r="C172" s="18"/>
      <x:c r="D172" s="18"/>
      <x:c r="E172" s="18"/>
      <x:c r="F172" s="18"/>
      <x:c r="G172" s="18"/>
      <x:c r="H172" s="18"/>
      <x:c r="I172" s="63"/>
      <x:c r="J172" s="63"/>
      <x:c r="K172" s="18"/>
      <x:c r="L172" s="65"/>
      <x:c r="M172" s="18"/>
      <x:c r="N172" s="18"/>
      <x:c r="O172" s="18" t="str">
        <x:f>G172&amp;" vs "&amp;H172</x:f>
        <x:v> vs </x:v>
      </x:c>
      <x:c r="P172" s="60"/>
      <x:c r="Q172" s="18" t="str">
        <x:f>IF(K172="","Awaiting result","Final")</x:f>
        <x:v>Awaiting result</x:v>
      </x:c>
    </x:row>
    <x:row r="173">
      <x:c r="A173" s="18"/>
      <x:c r="B173" s="61"/>
      <x:c r="C173" s="18"/>
      <x:c r="D173" s="18"/>
      <x:c r="E173" s="18"/>
      <x:c r="F173" s="18"/>
      <x:c r="G173" s="18"/>
      <x:c r="H173" s="18"/>
      <x:c r="I173" s="63"/>
      <x:c r="J173" s="63"/>
      <x:c r="K173" s="18"/>
      <x:c r="L173" s="65"/>
      <x:c r="M173" s="18"/>
      <x:c r="N173" s="18"/>
      <x:c r="O173" s="18" t="str">
        <x:f>G173&amp;" vs "&amp;H173</x:f>
        <x:v> vs </x:v>
      </x:c>
      <x:c r="P173" s="60"/>
      <x:c r="Q173" s="18" t="str">
        <x:f>IF(K173="","Awaiting result","Final")</x:f>
        <x:v>Awaiting result</x:v>
      </x:c>
    </x:row>
    <x:row r="174">
      <x:c r="A174" s="18"/>
      <x:c r="B174" s="61"/>
      <x:c r="C174" s="18"/>
      <x:c r="D174" s="18"/>
      <x:c r="E174" s="18"/>
      <x:c r="F174" s="18"/>
      <x:c r="G174" s="18"/>
      <x:c r="H174" s="18"/>
      <x:c r="I174" s="63"/>
      <x:c r="J174" s="63"/>
      <x:c r="K174" s="18"/>
      <x:c r="L174" s="65"/>
      <x:c r="M174" s="18"/>
      <x:c r="N174" s="18"/>
      <x:c r="O174" s="18" t="str">
        <x:f>G174&amp;" vs "&amp;H174</x:f>
        <x:v> vs </x:v>
      </x:c>
      <x:c r="P174" s="60"/>
      <x:c r="Q174" s="18" t="str">
        <x:f>IF(K174="","Awaiting result","Final")</x:f>
        <x:v>Awaiting result</x:v>
      </x:c>
    </x:row>
    <x:row r="175">
      <x:c r="A175" s="18"/>
      <x:c r="B175" s="61"/>
      <x:c r="C175" s="18"/>
      <x:c r="D175" s="18"/>
      <x:c r="E175" s="18"/>
      <x:c r="F175" s="18"/>
      <x:c r="G175" s="18"/>
      <x:c r="H175" s="18"/>
      <x:c r="I175" s="63"/>
      <x:c r="J175" s="63"/>
      <x:c r="K175" s="18"/>
      <x:c r="L175" s="65"/>
      <x:c r="M175" s="18"/>
      <x:c r="N175" s="18"/>
      <x:c r="O175" s="18" t="str">
        <x:f>G175&amp;" vs "&amp;H175</x:f>
        <x:v> vs </x:v>
      </x:c>
      <x:c r="P175" s="60"/>
      <x:c r="Q175" s="18" t="str">
        <x:f>IF(K175="","Awaiting result","Final")</x:f>
        <x:v>Awaiting result</x:v>
      </x:c>
    </x:row>
    <x:row r="176">
      <x:c r="A176" s="18"/>
      <x:c r="B176" s="61"/>
      <x:c r="C176" s="18"/>
      <x:c r="D176" s="18"/>
      <x:c r="E176" s="18"/>
      <x:c r="F176" s="18"/>
      <x:c r="G176" s="18"/>
      <x:c r="H176" s="18"/>
      <x:c r="I176" s="63"/>
      <x:c r="J176" s="63"/>
      <x:c r="K176" s="18"/>
      <x:c r="L176" s="65"/>
      <x:c r="M176" s="18"/>
      <x:c r="N176" s="18"/>
      <x:c r="O176" s="18" t="str">
        <x:f>G176&amp;" vs "&amp;H176</x:f>
        <x:v> vs </x:v>
      </x:c>
      <x:c r="P176" s="60"/>
      <x:c r="Q176" s="18" t="str">
        <x:f>IF(K176="","Awaiting result","Final")</x:f>
        <x:v>Awaiting result</x:v>
      </x:c>
    </x:row>
    <x:row r="177">
      <x:c r="A177" s="18"/>
      <x:c r="B177" s="61"/>
      <x:c r="C177" s="18"/>
      <x:c r="D177" s="18"/>
      <x:c r="E177" s="18"/>
      <x:c r="F177" s="18"/>
      <x:c r="G177" s="18"/>
      <x:c r="H177" s="18"/>
      <x:c r="I177" s="63"/>
      <x:c r="J177" s="63"/>
      <x:c r="K177" s="18"/>
      <x:c r="L177" s="65"/>
      <x:c r="M177" s="18"/>
      <x:c r="N177" s="18"/>
      <x:c r="O177" s="18" t="str">
        <x:f>G177&amp;" vs "&amp;H177</x:f>
        <x:v> vs </x:v>
      </x:c>
      <x:c r="P177" s="60"/>
      <x:c r="Q177" s="18" t="str">
        <x:f>IF(K177="","Awaiting result","Final")</x:f>
        <x:v>Awaiting result</x:v>
      </x:c>
    </x:row>
    <x:row r="178">
      <x:c r="A178" s="18"/>
      <x:c r="B178" s="61"/>
      <x:c r="C178" s="18"/>
      <x:c r="D178" s="18"/>
      <x:c r="E178" s="18"/>
      <x:c r="F178" s="18"/>
      <x:c r="G178" s="18"/>
      <x:c r="H178" s="18"/>
      <x:c r="I178" s="63"/>
      <x:c r="J178" s="63"/>
      <x:c r="K178" s="18"/>
      <x:c r="L178" s="65"/>
      <x:c r="M178" s="18"/>
      <x:c r="N178" s="18"/>
      <x:c r="O178" s="18" t="str">
        <x:f>G178&amp;" vs "&amp;H178</x:f>
        <x:v> vs </x:v>
      </x:c>
      <x:c r="P178" s="60"/>
      <x:c r="Q178" s="18" t="str">
        <x:f>IF(K178="","Awaiting result","Final")</x:f>
        <x:v>Awaiting result</x:v>
      </x:c>
    </x:row>
    <x:row r="179">
      <x:c r="A179" s="18"/>
      <x:c r="B179" s="61"/>
      <x:c r="C179" s="18"/>
      <x:c r="D179" s="18"/>
      <x:c r="E179" s="18"/>
      <x:c r="F179" s="18"/>
      <x:c r="G179" s="18"/>
      <x:c r="H179" s="18"/>
      <x:c r="I179" s="63"/>
      <x:c r="J179" s="63"/>
      <x:c r="K179" s="18"/>
      <x:c r="L179" s="65"/>
      <x:c r="M179" s="18"/>
      <x:c r="N179" s="18"/>
      <x:c r="O179" s="18" t="str">
        <x:f>G179&amp;" vs "&amp;H179</x:f>
        <x:v> vs </x:v>
      </x:c>
      <x:c r="P179" s="60"/>
      <x:c r="Q179" s="18" t="str">
        <x:f>IF(K179="","Awaiting result","Final")</x:f>
        <x:v>Awaiting result</x:v>
      </x:c>
    </x:row>
    <x:row r="180">
      <x:c r="A180" s="18"/>
      <x:c r="B180" s="61"/>
      <x:c r="C180" s="18"/>
      <x:c r="D180" s="18"/>
      <x:c r="E180" s="18"/>
      <x:c r="F180" s="18"/>
      <x:c r="G180" s="18"/>
      <x:c r="H180" s="18"/>
      <x:c r="I180" s="63"/>
      <x:c r="J180" s="63"/>
      <x:c r="K180" s="18"/>
      <x:c r="L180" s="65"/>
      <x:c r="M180" s="18"/>
      <x:c r="N180" s="18"/>
      <x:c r="O180" s="18" t="str">
        <x:f>G180&amp;" vs "&amp;H180</x:f>
        <x:v> vs </x:v>
      </x:c>
      <x:c r="P180" s="60"/>
      <x:c r="Q180" s="18" t="str">
        <x:f>IF(K180="","Awaiting result","Final")</x:f>
        <x:v>Awaiting result</x:v>
      </x:c>
    </x:row>
    <x:row r="181">
      <x:c r="A181" s="18"/>
      <x:c r="B181" s="61"/>
      <x:c r="C181" s="18"/>
      <x:c r="D181" s="18"/>
      <x:c r="E181" s="18"/>
      <x:c r="F181" s="18"/>
      <x:c r="G181" s="18"/>
      <x:c r="H181" s="18"/>
      <x:c r="I181" s="63"/>
      <x:c r="J181" s="63"/>
      <x:c r="K181" s="18"/>
      <x:c r="L181" s="65"/>
      <x:c r="M181" s="18"/>
      <x:c r="N181" s="18"/>
      <x:c r="O181" s="18" t="str">
        <x:f>G181&amp;" vs "&amp;H181</x:f>
        <x:v> vs </x:v>
      </x:c>
      <x:c r="P181" s="60"/>
      <x:c r="Q181" s="18" t="str">
        <x:f>IF(K181="","Awaiting result","Final")</x:f>
        <x:v>Awaiting result</x:v>
      </x:c>
    </x:row>
    <x:row r="182">
      <x:c r="A182" s="18"/>
      <x:c r="B182" s="61"/>
      <x:c r="C182" s="18"/>
      <x:c r="D182" s="18"/>
      <x:c r="E182" s="18"/>
      <x:c r="F182" s="18"/>
      <x:c r="G182" s="18"/>
      <x:c r="H182" s="18"/>
      <x:c r="I182" s="63"/>
      <x:c r="J182" s="63"/>
      <x:c r="K182" s="18"/>
      <x:c r="L182" s="65"/>
      <x:c r="M182" s="18"/>
      <x:c r="N182" s="18"/>
      <x:c r="O182" s="18" t="str">
        <x:f>G182&amp;" vs "&amp;H182</x:f>
        <x:v> vs </x:v>
      </x:c>
      <x:c r="P182" s="60"/>
      <x:c r="Q182" s="18" t="str">
        <x:f>IF(K182="","Awaiting result","Final")</x:f>
        <x:v>Awaiting result</x:v>
      </x:c>
    </x:row>
    <x:row r="183">
      <x:c r="A183" s="18"/>
      <x:c r="B183" s="61"/>
      <x:c r="C183" s="18"/>
      <x:c r="D183" s="18"/>
      <x:c r="E183" s="18"/>
      <x:c r="F183" s="18"/>
      <x:c r="G183" s="18"/>
      <x:c r="H183" s="18"/>
      <x:c r="I183" s="63"/>
      <x:c r="J183" s="63"/>
      <x:c r="K183" s="18"/>
      <x:c r="L183" s="65"/>
      <x:c r="M183" s="18"/>
      <x:c r="N183" s="18"/>
      <x:c r="O183" s="18" t="str">
        <x:f>G183&amp;" vs "&amp;H183</x:f>
        <x:v> vs </x:v>
      </x:c>
      <x:c r="P183" s="60"/>
      <x:c r="Q183" s="18" t="str">
        <x:f>IF(K183="","Awaiting result","Final")</x:f>
        <x:v>Awaiting result</x:v>
      </x:c>
    </x:row>
    <x:row r="184">
      <x:c r="A184" s="18"/>
      <x:c r="B184" s="61"/>
      <x:c r="C184" s="18"/>
      <x:c r="D184" s="18"/>
      <x:c r="E184" s="18"/>
      <x:c r="F184" s="18"/>
      <x:c r="G184" s="18"/>
      <x:c r="H184" s="18"/>
      <x:c r="I184" s="63"/>
      <x:c r="J184" s="63"/>
      <x:c r="K184" s="18"/>
      <x:c r="L184" s="65"/>
      <x:c r="M184" s="18"/>
      <x:c r="N184" s="18"/>
      <x:c r="O184" s="18" t="str">
        <x:f>G184&amp;" vs "&amp;H184</x:f>
        <x:v> vs </x:v>
      </x:c>
      <x:c r="P184" s="60"/>
      <x:c r="Q184" s="18" t="str">
        <x:f>IF(K184="","Awaiting result","Final")</x:f>
        <x:v>Awaiting result</x:v>
      </x:c>
    </x:row>
    <x:row r="185">
      <x:c r="A185" s="18"/>
      <x:c r="B185" s="61"/>
      <x:c r="C185" s="18"/>
      <x:c r="D185" s="18"/>
      <x:c r="E185" s="18"/>
      <x:c r="F185" s="18"/>
      <x:c r="G185" s="18"/>
      <x:c r="H185" s="18"/>
      <x:c r="I185" s="63"/>
      <x:c r="J185" s="63"/>
      <x:c r="K185" s="18"/>
      <x:c r="L185" s="65"/>
      <x:c r="M185" s="18"/>
      <x:c r="N185" s="18"/>
      <x:c r="O185" s="18" t="str">
        <x:f>G185&amp;" vs "&amp;H185</x:f>
        <x:v> vs </x:v>
      </x:c>
      <x:c r="P185" s="60"/>
      <x:c r="Q185" s="18" t="str">
        <x:f>IF(K185="","Awaiting result","Final")</x:f>
        <x:v>Awaiting result</x:v>
      </x:c>
    </x:row>
    <x:row r="186">
      <x:c r="A186" s="18"/>
      <x:c r="B186" s="61"/>
      <x:c r="C186" s="18"/>
      <x:c r="D186" s="18"/>
      <x:c r="E186" s="18"/>
      <x:c r="F186" s="18"/>
      <x:c r="G186" s="18"/>
      <x:c r="H186" s="18"/>
      <x:c r="I186" s="63"/>
      <x:c r="J186" s="63"/>
      <x:c r="K186" s="18"/>
      <x:c r="L186" s="65"/>
      <x:c r="M186" s="18"/>
      <x:c r="N186" s="18"/>
      <x:c r="O186" s="18" t="str">
        <x:f>G186&amp;" vs "&amp;H186</x:f>
        <x:v> vs </x:v>
      </x:c>
      <x:c r="P186" s="60"/>
      <x:c r="Q186" s="18" t="str">
        <x:f>IF(K186="","Awaiting result","Final")</x:f>
        <x:v>Awaiting result</x:v>
      </x:c>
    </x:row>
    <x:row r="187">
      <x:c r="A187" s="18"/>
      <x:c r="B187" s="61"/>
      <x:c r="C187" s="18"/>
      <x:c r="D187" s="18"/>
      <x:c r="E187" s="18"/>
      <x:c r="F187" s="18"/>
      <x:c r="G187" s="18"/>
      <x:c r="H187" s="18"/>
      <x:c r="I187" s="63"/>
      <x:c r="J187" s="63"/>
      <x:c r="K187" s="18"/>
      <x:c r="L187" s="65"/>
      <x:c r="M187" s="18"/>
      <x:c r="N187" s="18"/>
      <x:c r="O187" s="18" t="str">
        <x:f>G187&amp;" vs "&amp;H187</x:f>
        <x:v> vs </x:v>
      </x:c>
      <x:c r="P187" s="60"/>
      <x:c r="Q187" s="18" t="str">
        <x:f>IF(K187="","Awaiting result","Final")</x:f>
        <x:v>Awaiting result</x:v>
      </x:c>
    </x:row>
    <x:row r="188">
      <x:c r="A188" s="18"/>
      <x:c r="B188" s="61"/>
      <x:c r="C188" s="18"/>
      <x:c r="D188" s="18"/>
      <x:c r="E188" s="18"/>
      <x:c r="F188" s="18"/>
      <x:c r="G188" s="18"/>
      <x:c r="H188" s="18"/>
      <x:c r="I188" s="63"/>
      <x:c r="J188" s="63"/>
      <x:c r="K188" s="18"/>
      <x:c r="L188" s="65"/>
      <x:c r="M188" s="18"/>
      <x:c r="N188" s="18"/>
      <x:c r="O188" s="18" t="str">
        <x:f>G188&amp;" vs "&amp;H188</x:f>
        <x:v> vs </x:v>
      </x:c>
      <x:c r="P188" s="60"/>
      <x:c r="Q188" s="18" t="str">
        <x:f>IF(K188="","Awaiting result","Final")</x:f>
        <x:v>Awaiting result</x:v>
      </x:c>
    </x:row>
    <x:row r="189">
      <x:c r="A189" s="18"/>
      <x:c r="B189" s="61"/>
      <x:c r="C189" s="18"/>
      <x:c r="D189" s="18"/>
      <x:c r="E189" s="18"/>
      <x:c r="F189" s="18"/>
      <x:c r="G189" s="18"/>
      <x:c r="H189" s="18"/>
      <x:c r="I189" s="63"/>
      <x:c r="J189" s="63"/>
      <x:c r="K189" s="18"/>
      <x:c r="L189" s="65"/>
      <x:c r="M189" s="18"/>
      <x:c r="N189" s="18"/>
      <x:c r="O189" s="18" t="str">
        <x:f>G189&amp;" vs "&amp;H189</x:f>
        <x:v> vs </x:v>
      </x:c>
      <x:c r="P189" s="60"/>
      <x:c r="Q189" s="18" t="str">
        <x:f>IF(K189="","Awaiting result","Final")</x:f>
        <x:v>Awaiting result</x:v>
      </x:c>
    </x:row>
    <x:row r="190">
      <x:c r="A190" s="18"/>
      <x:c r="B190" s="61"/>
      <x:c r="C190" s="18"/>
      <x:c r="D190" s="18"/>
      <x:c r="E190" s="18"/>
      <x:c r="F190" s="18"/>
      <x:c r="G190" s="18"/>
      <x:c r="H190" s="18"/>
      <x:c r="I190" s="63"/>
      <x:c r="J190" s="63"/>
      <x:c r="K190" s="18"/>
      <x:c r="L190" s="65"/>
      <x:c r="M190" s="18"/>
      <x:c r="N190" s="18"/>
      <x:c r="O190" s="18" t="str">
        <x:f>G190&amp;" vs "&amp;H190</x:f>
        <x:v> vs </x:v>
      </x:c>
      <x:c r="P190" s="60"/>
      <x:c r="Q190" s="18" t="str">
        <x:f>IF(K190="","Awaiting result","Final")</x:f>
        <x:v>Awaiting result</x:v>
      </x:c>
    </x:row>
    <x:row r="191">
      <x:c r="A191" s="18"/>
      <x:c r="B191" s="61"/>
      <x:c r="C191" s="18"/>
      <x:c r="D191" s="18"/>
      <x:c r="E191" s="18"/>
      <x:c r="F191" s="18"/>
      <x:c r="G191" s="18"/>
      <x:c r="H191" s="18"/>
      <x:c r="I191" s="63"/>
      <x:c r="J191" s="63"/>
      <x:c r="K191" s="18"/>
      <x:c r="L191" s="65"/>
      <x:c r="M191" s="18"/>
      <x:c r="N191" s="18"/>
      <x:c r="O191" s="18" t="str">
        <x:f>G191&amp;" vs "&amp;H191</x:f>
        <x:v> vs </x:v>
      </x:c>
      <x:c r="P191" s="60"/>
      <x:c r="Q191" s="18" t="str">
        <x:f>IF(K191="","Awaiting result","Final")</x:f>
        <x:v>Awaiting result</x:v>
      </x:c>
    </x:row>
    <x:row r="192">
      <x:c r="A192" s="18"/>
      <x:c r="B192" s="61"/>
      <x:c r="C192" s="18"/>
      <x:c r="D192" s="18"/>
      <x:c r="E192" s="18"/>
      <x:c r="F192" s="18"/>
      <x:c r="G192" s="18"/>
      <x:c r="H192" s="18"/>
      <x:c r="I192" s="63"/>
      <x:c r="J192" s="63"/>
      <x:c r="K192" s="18"/>
      <x:c r="L192" s="65"/>
      <x:c r="M192" s="18"/>
      <x:c r="N192" s="18"/>
      <x:c r="O192" s="18" t="str">
        <x:f>G192&amp;" vs "&amp;H192</x:f>
        <x:v> vs </x:v>
      </x:c>
      <x:c r="P192" s="60"/>
      <x:c r="Q192" s="18" t="str">
        <x:f>IF(K192="","Awaiting result","Final")</x:f>
        <x:v>Awaiting result</x:v>
      </x:c>
    </x:row>
    <x:row r="193">
      <x:c r="A193" s="18"/>
      <x:c r="B193" s="61"/>
      <x:c r="C193" s="18"/>
      <x:c r="D193" s="18"/>
      <x:c r="E193" s="18"/>
      <x:c r="F193" s="18"/>
      <x:c r="G193" s="18"/>
      <x:c r="H193" s="18"/>
      <x:c r="I193" s="63"/>
      <x:c r="J193" s="63"/>
      <x:c r="K193" s="18"/>
      <x:c r="L193" s="65"/>
      <x:c r="M193" s="18"/>
      <x:c r="N193" s="18"/>
      <x:c r="O193" s="18" t="str">
        <x:f>G193&amp;" vs "&amp;H193</x:f>
        <x:v> vs </x:v>
      </x:c>
      <x:c r="P193" s="60"/>
      <x:c r="Q193" s="18" t="str">
        <x:f>IF(K193="","Awaiting result","Final")</x:f>
        <x:v>Awaiting result</x:v>
      </x:c>
    </x:row>
    <x:row r="194">
      <x:c r="A194" s="18"/>
      <x:c r="B194" s="61"/>
      <x:c r="C194" s="18"/>
      <x:c r="D194" s="18"/>
      <x:c r="E194" s="18"/>
      <x:c r="F194" s="18"/>
      <x:c r="G194" s="18"/>
      <x:c r="H194" s="18"/>
      <x:c r="I194" s="63"/>
      <x:c r="J194" s="63"/>
      <x:c r="K194" s="18"/>
      <x:c r="L194" s="65"/>
      <x:c r="M194" s="18"/>
      <x:c r="N194" s="18"/>
      <x:c r="O194" s="18" t="str">
        <x:f>G194&amp;" vs "&amp;H194</x:f>
        <x:v> vs </x:v>
      </x:c>
      <x:c r="P194" s="60"/>
      <x:c r="Q194" s="18" t="str">
        <x:f>IF(K194="","Awaiting result","Final")</x:f>
        <x:v>Awaiting result</x:v>
      </x:c>
    </x:row>
    <x:row r="195">
      <x:c r="A195" s="18"/>
      <x:c r="B195" s="61"/>
      <x:c r="C195" s="18"/>
      <x:c r="D195" s="18"/>
      <x:c r="E195" s="18"/>
      <x:c r="F195" s="18"/>
      <x:c r="G195" s="18"/>
      <x:c r="H195" s="18"/>
      <x:c r="I195" s="63"/>
      <x:c r="J195" s="63"/>
      <x:c r="K195" s="18"/>
      <x:c r="L195" s="65"/>
      <x:c r="M195" s="18"/>
      <x:c r="N195" s="18"/>
      <x:c r="O195" s="18" t="str">
        <x:f>G195&amp;" vs "&amp;H195</x:f>
        <x:v> vs </x:v>
      </x:c>
      <x:c r="P195" s="60"/>
      <x:c r="Q195" s="18" t="str">
        <x:f>IF(K195="","Awaiting result","Final")</x:f>
        <x:v>Awaiting result</x:v>
      </x:c>
    </x:row>
    <x:row r="196">
      <x:c r="A196" s="18"/>
      <x:c r="B196" s="61"/>
      <x:c r="C196" s="18"/>
      <x:c r="D196" s="18"/>
      <x:c r="E196" s="18"/>
      <x:c r="F196" s="18"/>
      <x:c r="G196" s="18"/>
      <x:c r="H196" s="18"/>
      <x:c r="I196" s="63"/>
      <x:c r="J196" s="63"/>
      <x:c r="K196" s="18"/>
      <x:c r="L196" s="65"/>
      <x:c r="M196" s="18"/>
      <x:c r="N196" s="18"/>
      <x:c r="O196" s="18" t="str">
        <x:f>G196&amp;" vs "&amp;H196</x:f>
        <x:v> vs </x:v>
      </x:c>
      <x:c r="P196" s="60"/>
      <x:c r="Q196" s="18" t="str">
        <x:f>IF(K196="","Awaiting result","Final")</x:f>
        <x:v>Awaiting result</x:v>
      </x:c>
    </x:row>
    <x:row r="197">
      <x:c r="A197" s="18"/>
      <x:c r="B197" s="61"/>
      <x:c r="C197" s="18"/>
      <x:c r="D197" s="18"/>
      <x:c r="E197" s="18"/>
      <x:c r="F197" s="18"/>
      <x:c r="G197" s="18"/>
      <x:c r="H197" s="18"/>
      <x:c r="I197" s="63"/>
      <x:c r="J197" s="63"/>
      <x:c r="K197" s="18"/>
      <x:c r="L197" s="65"/>
      <x:c r="M197" s="18"/>
      <x:c r="N197" s="18"/>
      <x:c r="O197" s="18" t="str">
        <x:f>G197&amp;" vs "&amp;H197</x:f>
        <x:v> vs </x:v>
      </x:c>
      <x:c r="P197" s="60"/>
      <x:c r="Q197" s="18" t="str">
        <x:f>IF(K197="","Awaiting result","Final")</x:f>
        <x:v>Awaiting result</x:v>
      </x:c>
    </x:row>
    <x:row r="198">
      <x:c r="A198" s="18"/>
      <x:c r="B198" s="61"/>
      <x:c r="C198" s="18"/>
      <x:c r="D198" s="18"/>
      <x:c r="E198" s="18"/>
      <x:c r="F198" s="18"/>
      <x:c r="G198" s="18"/>
      <x:c r="H198" s="18"/>
      <x:c r="I198" s="63"/>
      <x:c r="J198" s="63"/>
      <x:c r="K198" s="18"/>
      <x:c r="L198" s="65"/>
      <x:c r="M198" s="18"/>
      <x:c r="N198" s="18"/>
      <x:c r="O198" s="18" t="str">
        <x:f>G198&amp;" vs "&amp;H198</x:f>
        <x:v> vs </x:v>
      </x:c>
      <x:c r="P198" s="60"/>
      <x:c r="Q198" s="18" t="str">
        <x:f>IF(K198="","Awaiting result","Final")</x:f>
        <x:v>Awaiting result</x:v>
      </x:c>
    </x:row>
    <x:row r="199">
      <x:c r="A199" s="18"/>
      <x:c r="B199" s="61"/>
      <x:c r="C199" s="18"/>
      <x:c r="D199" s="18"/>
      <x:c r="E199" s="18"/>
      <x:c r="F199" s="18"/>
      <x:c r="G199" s="18"/>
      <x:c r="H199" s="18"/>
      <x:c r="I199" s="63"/>
      <x:c r="J199" s="63"/>
      <x:c r="K199" s="18"/>
      <x:c r="L199" s="65"/>
      <x:c r="M199" s="18"/>
      <x:c r="N199" s="18"/>
      <x:c r="O199" s="18" t="str">
        <x:f>G199&amp;" vs "&amp;H199</x:f>
        <x:v> vs </x:v>
      </x:c>
      <x:c r="P199" s="60"/>
      <x:c r="Q199" s="18" t="str">
        <x:f>IF(K199="","Awaiting result","Final")</x:f>
        <x:v>Awaiting result</x:v>
      </x:c>
    </x:row>
    <x:row r="200">
      <x:c r="A200" s="18"/>
      <x:c r="B200" s="61"/>
      <x:c r="C200" s="18"/>
      <x:c r="D200" s="18"/>
      <x:c r="E200" s="18"/>
      <x:c r="F200" s="18"/>
      <x:c r="G200" s="18"/>
      <x:c r="H200" s="18"/>
      <x:c r="I200" s="63"/>
      <x:c r="J200" s="63"/>
      <x:c r="K200" s="18"/>
      <x:c r="L200" s="65"/>
      <x:c r="M200" s="18"/>
      <x:c r="N200" s="18"/>
      <x:c r="O200" s="18" t="str">
        <x:f>G200&amp;" vs "&amp;H200</x:f>
        <x:v> vs </x:v>
      </x:c>
      <x:c r="P200" s="60"/>
      <x:c r="Q200" s="18" t="str">
        <x:f>IF(K200="","Awaiting result","Final")</x:f>
        <x:v>Awaiting result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0" hidden="0" customWidth="1"/>
    <x:col min="3" max="3" width="11.25" hidden="0" customWidth="1"/>
    <x:col min="4" max="4" width="28.75" hidden="0" customWidth="1"/>
    <x:col min="5" max="5" width="18.75" hidden="0" customWidth="1"/>
    <x:col min="6" max="6" width="14.380000114440918" hidden="0" customWidth="1"/>
    <x:col min="7" max="7" width="14.380000114440918" hidden="0" customWidth="1"/>
    <x:col min="8" max="8" width="2.5" hidden="0" customWidth="1"/>
    <x:col min="9" max="9" width="22.5" hidden="0" customWidth="1"/>
    <x:col min="10" max="10" width="22.5" hidden="0" customWidth="1"/>
    <x:col min="11" max="11" width="22.5" hidden="0" customWidth="1"/>
    <x:col min="12" max="12" width="22.5" hidden="0" customWidth="1"/>
    <x:col min="13" max="13" width="22.5" hidden="0" customWidth="1"/>
  </x:cols>
  <x:sheetData>
    <x:row r="1">
      <x:c r="A1" s="24" t="str">
        <x:v>Timestamp</x:v>
      </x:c>
      <x:c r="B1" s="24" t="str">
        <x:v>Participant</x:v>
      </x:c>
      <x:c r="C1" s="24" t="str">
        <x:v>Match ID</x:v>
      </x:c>
      <x:c r="D1" s="24" t="str">
        <x:v>Match Label</x:v>
      </x:c>
      <x:c r="E1" s="24" t="str">
        <x:v>Prediction</x:v>
      </x:c>
      <x:c r="F1" s="24" t="str">
        <x:v>Pred Home Goals</x:v>
      </x:c>
      <x:c r="G1" s="24" t="str">
        <x:v>Pred Away Goals</x:v>
      </x:c>
      <x:c r="I1" s="55" t="str">
        <x:v>Do not type here after launch</x:v>
      </x:c>
      <x:c r="J1" s="55"/>
      <x:c r="K1" s="55"/>
      <x:c r="L1" s="55"/>
      <x:c r="M1" s="55"/>
    </x:row>
    <x:row r="2">
      <x:c r="A2" s="18"/>
      <x:c r="B2" s="18"/>
      <x:c r="C2" s="18"/>
      <x:c r="D2" s="18"/>
      <x:c r="E2" s="18"/>
      <x:c r="F2" s="18"/>
      <x:c r="G2" s="18"/>
      <x:c r="I2" s="35" t="str">
        <x:v>Google Forms should write into columns A:G on this tab.</x:v>
      </x:c>
      <x:c r="J2" s="36"/>
      <x:c r="K2" s="36"/>
      <x:c r="L2" s="36"/>
      <x:c r="M2" s="37"/>
    </x:row>
    <x:row r="3">
      <x:c r="A3" s="18"/>
      <x:c r="B3" s="18"/>
      <x:c r="C3" s="18"/>
      <x:c r="D3" s="18"/>
      <x:c r="E3" s="18"/>
      <x:c r="F3" s="18"/>
      <x:c r="G3" s="18"/>
      <x:c r="I3" s="38" t="str">
        <x:v>If Forms creates a different response tab, rename that tab to Form Responses 1.</x:v>
      </x:c>
      <x:c r="J3" s="39"/>
      <x:c r="K3" s="39"/>
      <x:c r="L3" s="39"/>
      <x:c r="M3" s="40"/>
    </x:row>
    <x:row r="4">
      <x:c r="A4" s="18"/>
      <x:c r="B4" s="18"/>
      <x:c r="C4" s="18"/>
      <x:c r="D4" s="18"/>
      <x:c r="E4" s="18"/>
      <x:c r="F4" s="18"/>
      <x:c r="G4" s="18"/>
      <x:c r="I4" s="38" t="str">
        <x:v>Recommended form questions:</x:v>
      </x:c>
      <x:c r="J4" s="39"/>
      <x:c r="K4" s="39"/>
      <x:c r="L4" s="39"/>
      <x:c r="M4" s="40"/>
    </x:row>
    <x:row r="5">
      <x:c r="A5" s="18"/>
      <x:c r="B5" s="18"/>
      <x:c r="C5" s="18"/>
      <x:c r="D5" s="18"/>
      <x:c r="E5" s="18"/>
      <x:c r="F5" s="18"/>
      <x:c r="G5" s="18"/>
      <x:c r="I5" s="38" t="str">
        <x:v>Participant</x:v>
      </x:c>
      <x:c r="J5" s="39" t="str">
        <x:v>Match ID</x:v>
      </x:c>
      <x:c r="K5" s="39" t="str">
        <x:v>Match Label</x:v>
      </x:c>
      <x:c r="L5" s="39" t="str">
        <x:v>Prediction</x:v>
      </x:c>
      <x:c r="M5" s="40" t="str">
        <x:v>Pred Home Goals</x:v>
      </x:c>
    </x:row>
    <x:row r="6">
      <x:c r="A6" s="18"/>
      <x:c r="B6" s="18"/>
      <x:c r="C6" s="18"/>
      <x:c r="D6" s="18"/>
      <x:c r="E6" s="18"/>
      <x:c r="F6" s="18"/>
      <x:c r="G6" s="18"/>
      <x:c r="I6" s="38" t="str">
        <x:v>Pred Away Goals</x:v>
      </x:c>
      <x:c r="J6" s="39" t="str"/>
      <x:c r="K6" s="39" t="str"/>
      <x:c r="L6" s="39" t="str"/>
      <x:c r="M6" s="40" t="str"/>
    </x:row>
    <x:row r="7">
      <x:c r="A7" s="18"/>
      <x:c r="B7" s="18"/>
      <x:c r="C7" s="18"/>
      <x:c r="D7" s="18"/>
      <x:c r="E7" s="18"/>
      <x:c r="F7" s="18"/>
      <x:c r="G7" s="18"/>
      <x:c r="I7" s="38" t="str">
        <x:v>Predicted goals are optional. Blank exact-score fields are not penalized.</x:v>
      </x:c>
      <x:c r="J7" s="39"/>
      <x:c r="K7" s="39"/>
      <x:c r="L7" s="39"/>
      <x:c r="M7" s="40"/>
    </x:row>
    <x:row r="8">
      <x:c r="A8" s="18"/>
      <x:c r="B8" s="18"/>
      <x:c r="C8" s="18"/>
      <x:c r="D8" s="18"/>
      <x:c r="E8" s="18"/>
      <x:c r="F8" s="18"/>
      <x:c r="G8" s="18"/>
      <x:c r="I8" s="41" t="str">
        <x:v>Keep response editing off for fairness.</x:v>
      </x:c>
      <x:c r="J8" s="42"/>
      <x:c r="K8" s="42"/>
      <x:c r="L8" s="42"/>
      <x:c r="M8" s="43"/>
    </x:row>
    <x:row r="9">
      <x:c r="A9" s="18"/>
      <x:c r="B9" s="18"/>
      <x:c r="C9" s="18"/>
      <x:c r="D9" s="18"/>
      <x:c r="E9" s="18"/>
      <x:c r="F9" s="18"/>
      <x:c r="G9" s="18"/>
    </x:row>
    <x:row r="10">
      <x:c r="A10" s="18"/>
      <x:c r="B10" s="18"/>
      <x:c r="C10" s="18"/>
      <x:c r="D10" s="18"/>
      <x:c r="E10" s="18"/>
      <x:c r="F10" s="18"/>
      <x:c r="G10" s="18"/>
    </x:row>
    <x:row r="11">
      <x:c r="A11" s="18"/>
      <x:c r="B11" s="18"/>
      <x:c r="C11" s="18"/>
      <x:c r="D11" s="18"/>
      <x:c r="E11" s="18"/>
      <x:c r="F11" s="18"/>
      <x:c r="G11" s="18"/>
    </x:row>
    <x:row r="12">
      <x:c r="A12" s="18"/>
      <x:c r="B12" s="18"/>
      <x:c r="C12" s="18"/>
      <x:c r="D12" s="18"/>
      <x:c r="E12" s="18"/>
      <x:c r="F12" s="18"/>
      <x:c r="G12" s="18"/>
    </x:row>
    <x:row r="13">
      <x:c r="A13" s="18"/>
      <x:c r="B13" s="18"/>
      <x:c r="C13" s="18"/>
      <x:c r="D13" s="18"/>
      <x:c r="E13" s="18"/>
      <x:c r="F13" s="18"/>
      <x:c r="G13" s="18"/>
    </x:row>
    <x:row r="14">
      <x:c r="A14" s="18"/>
      <x:c r="B14" s="18"/>
      <x:c r="C14" s="18"/>
      <x:c r="D14" s="18"/>
      <x:c r="E14" s="18"/>
      <x:c r="F14" s="18"/>
      <x:c r="G14" s="18"/>
    </x:row>
    <x:row r="15">
      <x:c r="A15" s="18"/>
      <x:c r="B15" s="18"/>
      <x:c r="C15" s="18"/>
      <x:c r="D15" s="18"/>
      <x:c r="E15" s="18"/>
      <x:c r="F15" s="18"/>
      <x:c r="G15" s="18"/>
    </x:row>
    <x:row r="16">
      <x:c r="A16" s="18"/>
      <x:c r="B16" s="18"/>
      <x:c r="C16" s="18"/>
      <x:c r="D16" s="18"/>
      <x:c r="E16" s="18"/>
      <x:c r="F16" s="18"/>
      <x:c r="G16" s="18"/>
    </x:row>
    <x:row r="17">
      <x:c r="A17" s="18"/>
      <x:c r="B17" s="18"/>
      <x:c r="C17" s="18"/>
      <x:c r="D17" s="18"/>
      <x:c r="E17" s="18"/>
      <x:c r="F17" s="18"/>
      <x:c r="G17" s="18"/>
    </x:row>
    <x:row r="18">
      <x:c r="A18" s="18"/>
      <x:c r="B18" s="18"/>
      <x:c r="C18" s="18"/>
      <x:c r="D18" s="18"/>
      <x:c r="E18" s="18"/>
      <x:c r="F18" s="18"/>
      <x:c r="G18" s="18"/>
    </x:row>
    <x:row r="19">
      <x:c r="A19" s="18"/>
      <x:c r="B19" s="18"/>
      <x:c r="C19" s="18"/>
      <x:c r="D19" s="18"/>
      <x:c r="E19" s="18"/>
      <x:c r="F19" s="18"/>
      <x:c r="G19" s="18"/>
    </x:row>
    <x:row r="20">
      <x:c r="A20" s="18"/>
      <x:c r="B20" s="18"/>
      <x:c r="C20" s="18"/>
      <x:c r="D20" s="18"/>
      <x:c r="E20" s="18"/>
      <x:c r="F20" s="18"/>
      <x:c r="G20" s="18"/>
    </x:row>
    <x:row r="21">
      <x:c r="A21" s="18"/>
      <x:c r="B21" s="18"/>
      <x:c r="C21" s="18"/>
      <x:c r="D21" s="18"/>
      <x:c r="E21" s="18"/>
      <x:c r="F21" s="18"/>
      <x:c r="G21" s="18"/>
    </x:row>
    <x:row r="22">
      <x:c r="A22" s="18"/>
      <x:c r="B22" s="18"/>
      <x:c r="C22" s="18"/>
      <x:c r="D22" s="18"/>
      <x:c r="E22" s="18"/>
      <x:c r="F22" s="18"/>
      <x:c r="G22" s="18"/>
    </x:row>
    <x:row r="23">
      <x:c r="A23" s="18"/>
      <x:c r="B23" s="18"/>
      <x:c r="C23" s="18"/>
      <x:c r="D23" s="18"/>
      <x:c r="E23" s="18"/>
      <x:c r="F23" s="18"/>
      <x:c r="G23" s="18"/>
    </x:row>
    <x:row r="24">
      <x:c r="A24" s="18"/>
      <x:c r="B24" s="18"/>
      <x:c r="C24" s="18"/>
      <x:c r="D24" s="18"/>
      <x:c r="E24" s="18"/>
      <x:c r="F24" s="18"/>
      <x:c r="G24" s="18"/>
    </x:row>
    <x:row r="25">
      <x:c r="A25" s="18"/>
      <x:c r="B25" s="18"/>
      <x:c r="C25" s="18"/>
      <x:c r="D25" s="18"/>
      <x:c r="E25" s="18"/>
      <x:c r="F25" s="18"/>
      <x:c r="G25" s="18"/>
    </x:row>
    <x:row r="26">
      <x:c r="A26" s="18"/>
      <x:c r="B26" s="18"/>
      <x:c r="C26" s="18"/>
      <x:c r="D26" s="18"/>
      <x:c r="E26" s="18"/>
      <x:c r="F26" s="18"/>
      <x:c r="G26" s="18"/>
    </x:row>
    <x:row r="27">
      <x:c r="A27" s="18"/>
      <x:c r="B27" s="18"/>
      <x:c r="C27" s="18"/>
      <x:c r="D27" s="18"/>
      <x:c r="E27" s="18"/>
      <x:c r="F27" s="18"/>
      <x:c r="G27" s="18"/>
    </x:row>
    <x:row r="28">
      <x:c r="A28" s="18"/>
      <x:c r="B28" s="18"/>
      <x:c r="C28" s="18"/>
      <x:c r="D28" s="18"/>
      <x:c r="E28" s="18"/>
      <x:c r="F28" s="18"/>
      <x:c r="G28" s="18"/>
    </x:row>
    <x:row r="29">
      <x:c r="A29" s="18"/>
      <x:c r="B29" s="18"/>
      <x:c r="C29" s="18"/>
      <x:c r="D29" s="18"/>
      <x:c r="E29" s="18"/>
      <x:c r="F29" s="18"/>
      <x:c r="G29" s="18"/>
    </x:row>
    <x:row r="30">
      <x:c r="A30" s="18"/>
      <x:c r="B30" s="18"/>
      <x:c r="C30" s="18"/>
      <x:c r="D30" s="18"/>
      <x:c r="E30" s="18"/>
      <x:c r="F30" s="18"/>
      <x:c r="G30" s="18"/>
    </x:row>
    <x:row r="31">
      <x:c r="A31" s="18"/>
      <x:c r="B31" s="18"/>
      <x:c r="C31" s="18"/>
      <x:c r="D31" s="18"/>
      <x:c r="E31" s="18"/>
      <x:c r="F31" s="18"/>
      <x:c r="G31" s="18"/>
    </x:row>
    <x:row r="32">
      <x:c r="A32" s="18"/>
      <x:c r="B32" s="18"/>
      <x:c r="C32" s="18"/>
      <x:c r="D32" s="18"/>
      <x:c r="E32" s="18"/>
      <x:c r="F32" s="18"/>
      <x:c r="G32" s="18"/>
    </x:row>
    <x:row r="33">
      <x:c r="A33" s="18"/>
      <x:c r="B33" s="18"/>
      <x:c r="C33" s="18"/>
      <x:c r="D33" s="18"/>
      <x:c r="E33" s="18"/>
      <x:c r="F33" s="18"/>
      <x:c r="G33" s="18"/>
    </x:row>
    <x:row r="34">
      <x:c r="A34" s="18"/>
      <x:c r="B34" s="18"/>
      <x:c r="C34" s="18"/>
      <x:c r="D34" s="18"/>
      <x:c r="E34" s="18"/>
      <x:c r="F34" s="18"/>
      <x:c r="G34" s="18"/>
    </x:row>
    <x:row r="35">
      <x:c r="A35" s="18"/>
      <x:c r="B35" s="18"/>
      <x:c r="C35" s="18"/>
      <x:c r="D35" s="18"/>
      <x:c r="E35" s="18"/>
      <x:c r="F35" s="18"/>
      <x:c r="G35" s="18"/>
    </x:row>
    <x:row r="36">
      <x:c r="A36" s="18"/>
      <x:c r="B36" s="18"/>
      <x:c r="C36" s="18"/>
      <x:c r="D36" s="18"/>
      <x:c r="E36" s="18"/>
      <x:c r="F36" s="18"/>
      <x:c r="G36" s="18"/>
    </x:row>
    <x:row r="37">
      <x:c r="A37" s="18"/>
      <x:c r="B37" s="18"/>
      <x:c r="C37" s="18"/>
      <x:c r="D37" s="18"/>
      <x:c r="E37" s="18"/>
      <x:c r="F37" s="18"/>
      <x:c r="G37" s="18"/>
    </x:row>
    <x:row r="38">
      <x:c r="A38" s="18"/>
      <x:c r="B38" s="18"/>
      <x:c r="C38" s="18"/>
      <x:c r="D38" s="18"/>
      <x:c r="E38" s="18"/>
      <x:c r="F38" s="18"/>
      <x:c r="G38" s="18"/>
    </x:row>
    <x:row r="39">
      <x:c r="A39" s="18"/>
      <x:c r="B39" s="18"/>
      <x:c r="C39" s="18"/>
      <x:c r="D39" s="18"/>
      <x:c r="E39" s="18"/>
      <x:c r="F39" s="18"/>
      <x:c r="G39" s="18"/>
    </x:row>
    <x:row r="40">
      <x:c r="A40" s="18"/>
      <x:c r="B40" s="18"/>
      <x:c r="C40" s="18"/>
      <x:c r="D40" s="18"/>
      <x:c r="E40" s="18"/>
      <x:c r="F40" s="18"/>
      <x:c r="G40" s="18"/>
    </x:row>
    <x:row r="41">
      <x:c r="A41" s="18"/>
      <x:c r="B41" s="18"/>
      <x:c r="C41" s="18"/>
      <x:c r="D41" s="18"/>
      <x:c r="E41" s="18"/>
      <x:c r="F41" s="18"/>
      <x:c r="G41" s="18"/>
    </x:row>
    <x:row r="42">
      <x:c r="A42" s="18"/>
      <x:c r="B42" s="18"/>
      <x:c r="C42" s="18"/>
      <x:c r="D42" s="18"/>
      <x:c r="E42" s="18"/>
      <x:c r="F42" s="18"/>
      <x:c r="G42" s="18"/>
    </x:row>
    <x:row r="43">
      <x:c r="A43" s="18"/>
      <x:c r="B43" s="18"/>
      <x:c r="C43" s="18"/>
      <x:c r="D43" s="18"/>
      <x:c r="E43" s="18"/>
      <x:c r="F43" s="18"/>
      <x:c r="G43" s="18"/>
    </x:row>
    <x:row r="44">
      <x:c r="A44" s="18"/>
      <x:c r="B44" s="18"/>
      <x:c r="C44" s="18"/>
      <x:c r="D44" s="18"/>
      <x:c r="E44" s="18"/>
      <x:c r="F44" s="18"/>
      <x:c r="G44" s="18"/>
    </x:row>
    <x:row r="45">
      <x:c r="A45" s="18"/>
      <x:c r="B45" s="18"/>
      <x:c r="C45" s="18"/>
      <x:c r="D45" s="18"/>
      <x:c r="E45" s="18"/>
      <x:c r="F45" s="18"/>
      <x:c r="G45" s="18"/>
    </x:row>
    <x:row r="46">
      <x:c r="A46" s="18"/>
      <x:c r="B46" s="18"/>
      <x:c r="C46" s="18"/>
      <x:c r="D46" s="18"/>
      <x:c r="E46" s="18"/>
      <x:c r="F46" s="18"/>
      <x:c r="G46" s="18"/>
    </x:row>
    <x:row r="47">
      <x:c r="A47" s="18"/>
      <x:c r="B47" s="18"/>
      <x:c r="C47" s="18"/>
      <x:c r="D47" s="18"/>
      <x:c r="E47" s="18"/>
      <x:c r="F47" s="18"/>
      <x:c r="G47" s="18"/>
    </x:row>
    <x:row r="48">
      <x:c r="A48" s="18"/>
      <x:c r="B48" s="18"/>
      <x:c r="C48" s="18"/>
      <x:c r="D48" s="18"/>
      <x:c r="E48" s="18"/>
      <x:c r="F48" s="18"/>
      <x:c r="G48" s="18"/>
    </x:row>
    <x:row r="49">
      <x:c r="A49" s="18"/>
      <x:c r="B49" s="18"/>
      <x:c r="C49" s="18"/>
      <x:c r="D49" s="18"/>
      <x:c r="E49" s="18"/>
      <x:c r="F49" s="18"/>
      <x:c r="G49" s="18"/>
    </x:row>
    <x:row r="50">
      <x:c r="A50" s="18"/>
      <x:c r="B50" s="18"/>
      <x:c r="C50" s="18"/>
      <x:c r="D50" s="18"/>
      <x:c r="E50" s="18"/>
      <x:c r="F50" s="18"/>
      <x:c r="G50" s="18"/>
    </x:row>
    <x:row r="51">
      <x:c r="A51" s="18"/>
      <x:c r="B51" s="18"/>
      <x:c r="C51" s="18"/>
      <x:c r="D51" s="18"/>
      <x:c r="E51" s="18"/>
      <x:c r="F51" s="18"/>
      <x:c r="G51" s="18"/>
    </x:row>
    <x:row r="52">
      <x:c r="A52" s="18"/>
      <x:c r="B52" s="18"/>
      <x:c r="C52" s="18"/>
      <x:c r="D52" s="18"/>
      <x:c r="E52" s="18"/>
      <x:c r="F52" s="18"/>
      <x:c r="G52" s="18"/>
    </x:row>
    <x:row r="53">
      <x:c r="A53" s="18"/>
      <x:c r="B53" s="18"/>
      <x:c r="C53" s="18"/>
      <x:c r="D53" s="18"/>
      <x:c r="E53" s="18"/>
      <x:c r="F53" s="18"/>
      <x:c r="G53" s="18"/>
    </x:row>
    <x:row r="54">
      <x:c r="A54" s="18"/>
      <x:c r="B54" s="18"/>
      <x:c r="C54" s="18"/>
      <x:c r="D54" s="18"/>
      <x:c r="E54" s="18"/>
      <x:c r="F54" s="18"/>
      <x:c r="G54" s="18"/>
    </x:row>
    <x:row r="55">
      <x:c r="A55" s="18"/>
      <x:c r="B55" s="18"/>
      <x:c r="C55" s="18"/>
      <x:c r="D55" s="18"/>
      <x:c r="E55" s="18"/>
      <x:c r="F55" s="18"/>
      <x:c r="G55" s="18"/>
    </x:row>
    <x:row r="56">
      <x:c r="A56" s="18"/>
      <x:c r="B56" s="18"/>
      <x:c r="C56" s="18"/>
      <x:c r="D56" s="18"/>
      <x:c r="E56" s="18"/>
      <x:c r="F56" s="18"/>
      <x:c r="G56" s="18"/>
    </x:row>
    <x:row r="57">
      <x:c r="A57" s="18"/>
      <x:c r="B57" s="18"/>
      <x:c r="C57" s="18"/>
      <x:c r="D57" s="18"/>
      <x:c r="E57" s="18"/>
      <x:c r="F57" s="18"/>
      <x:c r="G57" s="18"/>
    </x:row>
    <x:row r="58">
      <x:c r="A58" s="18"/>
      <x:c r="B58" s="18"/>
      <x:c r="C58" s="18"/>
      <x:c r="D58" s="18"/>
      <x:c r="E58" s="18"/>
      <x:c r="F58" s="18"/>
      <x:c r="G58" s="18"/>
    </x:row>
    <x:row r="59">
      <x:c r="A59" s="18"/>
      <x:c r="B59" s="18"/>
      <x:c r="C59" s="18"/>
      <x:c r="D59" s="18"/>
      <x:c r="E59" s="18"/>
      <x:c r="F59" s="18"/>
      <x:c r="G59" s="18"/>
    </x:row>
    <x:row r="60">
      <x:c r="A60" s="18"/>
      <x:c r="B60" s="18"/>
      <x:c r="C60" s="18"/>
      <x:c r="D60" s="18"/>
      <x:c r="E60" s="18"/>
      <x:c r="F60" s="18"/>
      <x:c r="G60" s="18"/>
    </x:row>
    <x:row r="61">
      <x:c r="A61" s="18"/>
      <x:c r="B61" s="18"/>
      <x:c r="C61" s="18"/>
      <x:c r="D61" s="18"/>
      <x:c r="E61" s="18"/>
      <x:c r="F61" s="18"/>
      <x:c r="G61" s="18"/>
    </x:row>
    <x:row r="62">
      <x:c r="A62" s="18"/>
      <x:c r="B62" s="18"/>
      <x:c r="C62" s="18"/>
      <x:c r="D62" s="18"/>
      <x:c r="E62" s="18"/>
      <x:c r="F62" s="18"/>
      <x:c r="G62" s="18"/>
    </x:row>
    <x:row r="63">
      <x:c r="A63" s="18"/>
      <x:c r="B63" s="18"/>
      <x:c r="C63" s="18"/>
      <x:c r="D63" s="18"/>
      <x:c r="E63" s="18"/>
      <x:c r="F63" s="18"/>
      <x:c r="G63" s="18"/>
    </x:row>
    <x:row r="64">
      <x:c r="A64" s="18"/>
      <x:c r="B64" s="18"/>
      <x:c r="C64" s="18"/>
      <x:c r="D64" s="18"/>
      <x:c r="E64" s="18"/>
      <x:c r="F64" s="18"/>
      <x:c r="G64" s="18"/>
    </x:row>
    <x:row r="65">
      <x:c r="A65" s="18"/>
      <x:c r="B65" s="18"/>
      <x:c r="C65" s="18"/>
      <x:c r="D65" s="18"/>
      <x:c r="E65" s="18"/>
      <x:c r="F65" s="18"/>
      <x:c r="G65" s="18"/>
    </x:row>
    <x:row r="66">
      <x:c r="A66" s="18"/>
      <x:c r="B66" s="18"/>
      <x:c r="C66" s="18"/>
      <x:c r="D66" s="18"/>
      <x:c r="E66" s="18"/>
      <x:c r="F66" s="18"/>
      <x:c r="G66" s="18"/>
    </x:row>
    <x:row r="67">
      <x:c r="A67" s="18"/>
      <x:c r="B67" s="18"/>
      <x:c r="C67" s="18"/>
      <x:c r="D67" s="18"/>
      <x:c r="E67" s="18"/>
      <x:c r="F67" s="18"/>
      <x:c r="G67" s="18"/>
    </x:row>
    <x:row r="68">
      <x:c r="A68" s="18"/>
      <x:c r="B68" s="18"/>
      <x:c r="C68" s="18"/>
      <x:c r="D68" s="18"/>
      <x:c r="E68" s="18"/>
      <x:c r="F68" s="18"/>
      <x:c r="G68" s="18"/>
    </x:row>
    <x:row r="69">
      <x:c r="A69" s="18"/>
      <x:c r="B69" s="18"/>
      <x:c r="C69" s="18"/>
      <x:c r="D69" s="18"/>
      <x:c r="E69" s="18"/>
      <x:c r="F69" s="18"/>
      <x:c r="G69" s="18"/>
    </x:row>
    <x:row r="70">
      <x:c r="A70" s="18"/>
      <x:c r="B70" s="18"/>
      <x:c r="C70" s="18"/>
      <x:c r="D70" s="18"/>
      <x:c r="E70" s="18"/>
      <x:c r="F70" s="18"/>
      <x:c r="G70" s="18"/>
    </x:row>
    <x:row r="71">
      <x:c r="A71" s="18"/>
      <x:c r="B71" s="18"/>
      <x:c r="C71" s="18"/>
      <x:c r="D71" s="18"/>
      <x:c r="E71" s="18"/>
      <x:c r="F71" s="18"/>
      <x:c r="G71" s="18"/>
    </x:row>
    <x:row r="72">
      <x:c r="A72" s="18"/>
      <x:c r="B72" s="18"/>
      <x:c r="C72" s="18"/>
      <x:c r="D72" s="18"/>
      <x:c r="E72" s="18"/>
      <x:c r="F72" s="18"/>
      <x:c r="G72" s="18"/>
    </x:row>
    <x:row r="73">
      <x:c r="A73" s="18"/>
      <x:c r="B73" s="18"/>
      <x:c r="C73" s="18"/>
      <x:c r="D73" s="18"/>
      <x:c r="E73" s="18"/>
      <x:c r="F73" s="18"/>
      <x:c r="G73" s="18"/>
    </x:row>
    <x:row r="74">
      <x:c r="A74" s="18"/>
      <x:c r="B74" s="18"/>
      <x:c r="C74" s="18"/>
      <x:c r="D74" s="18"/>
      <x:c r="E74" s="18"/>
      <x:c r="F74" s="18"/>
      <x:c r="G74" s="18"/>
    </x:row>
    <x:row r="75">
      <x:c r="A75" s="18"/>
      <x:c r="B75" s="18"/>
      <x:c r="C75" s="18"/>
      <x:c r="D75" s="18"/>
      <x:c r="E75" s="18"/>
      <x:c r="F75" s="18"/>
      <x:c r="G75" s="18"/>
    </x:row>
    <x:row r="76">
      <x:c r="A76" s="18"/>
      <x:c r="B76" s="18"/>
      <x:c r="C76" s="18"/>
      <x:c r="D76" s="18"/>
      <x:c r="E76" s="18"/>
      <x:c r="F76" s="18"/>
      <x:c r="G76" s="18"/>
    </x:row>
    <x:row r="77">
      <x:c r="A77" s="18"/>
      <x:c r="B77" s="18"/>
      <x:c r="C77" s="18"/>
      <x:c r="D77" s="18"/>
      <x:c r="E77" s="18"/>
      <x:c r="F77" s="18"/>
      <x:c r="G77" s="18"/>
    </x:row>
    <x:row r="78">
      <x:c r="A78" s="18"/>
      <x:c r="B78" s="18"/>
      <x:c r="C78" s="18"/>
      <x:c r="D78" s="18"/>
      <x:c r="E78" s="18"/>
      <x:c r="F78" s="18"/>
      <x:c r="G78" s="18"/>
    </x:row>
    <x:row r="79">
      <x:c r="A79" s="18"/>
      <x:c r="B79" s="18"/>
      <x:c r="C79" s="18"/>
      <x:c r="D79" s="18"/>
      <x:c r="E79" s="18"/>
      <x:c r="F79" s="18"/>
      <x:c r="G79" s="18"/>
    </x:row>
    <x:row r="80">
      <x:c r="A80" s="18"/>
      <x:c r="B80" s="18"/>
      <x:c r="C80" s="18"/>
      <x:c r="D80" s="18"/>
      <x:c r="E80" s="18"/>
      <x:c r="F80" s="18"/>
      <x:c r="G80" s="18"/>
    </x:row>
    <x:row r="81">
      <x:c r="A81" s="18"/>
      <x:c r="B81" s="18"/>
      <x:c r="C81" s="18"/>
      <x:c r="D81" s="18"/>
      <x:c r="E81" s="18"/>
      <x:c r="F81" s="18"/>
      <x:c r="G81" s="18"/>
    </x:row>
    <x:row r="82">
      <x:c r="A82" s="18"/>
      <x:c r="B82" s="18"/>
      <x:c r="C82" s="18"/>
      <x:c r="D82" s="18"/>
      <x:c r="E82" s="18"/>
      <x:c r="F82" s="18"/>
      <x:c r="G82" s="18"/>
    </x:row>
    <x:row r="83">
      <x:c r="A83" s="18"/>
      <x:c r="B83" s="18"/>
      <x:c r="C83" s="18"/>
      <x:c r="D83" s="18"/>
      <x:c r="E83" s="18"/>
      <x:c r="F83" s="18"/>
      <x:c r="G83" s="18"/>
    </x:row>
    <x:row r="84">
      <x:c r="A84" s="18"/>
      <x:c r="B84" s="18"/>
      <x:c r="C84" s="18"/>
      <x:c r="D84" s="18"/>
      <x:c r="E84" s="18"/>
      <x:c r="F84" s="18"/>
      <x:c r="G84" s="18"/>
    </x:row>
    <x:row r="85">
      <x:c r="A85" s="18"/>
      <x:c r="B85" s="18"/>
      <x:c r="C85" s="18"/>
      <x:c r="D85" s="18"/>
      <x:c r="E85" s="18"/>
      <x:c r="F85" s="18"/>
      <x:c r="G85" s="18"/>
    </x:row>
    <x:row r="86">
      <x:c r="A86" s="18"/>
      <x:c r="B86" s="18"/>
      <x:c r="C86" s="18"/>
      <x:c r="D86" s="18"/>
      <x:c r="E86" s="18"/>
      <x:c r="F86" s="18"/>
      <x:c r="G86" s="18"/>
    </x:row>
    <x:row r="87">
      <x:c r="A87" s="18"/>
      <x:c r="B87" s="18"/>
      <x:c r="C87" s="18"/>
      <x:c r="D87" s="18"/>
      <x:c r="E87" s="18"/>
      <x:c r="F87" s="18"/>
      <x:c r="G87" s="18"/>
    </x:row>
    <x:row r="88">
      <x:c r="A88" s="18"/>
      <x:c r="B88" s="18"/>
      <x:c r="C88" s="18"/>
      <x:c r="D88" s="18"/>
      <x:c r="E88" s="18"/>
      <x:c r="F88" s="18"/>
      <x:c r="G88" s="18"/>
    </x:row>
    <x:row r="89">
      <x:c r="A89" s="18"/>
      <x:c r="B89" s="18"/>
      <x:c r="C89" s="18"/>
      <x:c r="D89" s="18"/>
      <x:c r="E89" s="18"/>
      <x:c r="F89" s="18"/>
      <x:c r="G89" s="18"/>
    </x:row>
    <x:row r="90">
      <x:c r="A90" s="18"/>
      <x:c r="B90" s="18"/>
      <x:c r="C90" s="18"/>
      <x:c r="D90" s="18"/>
      <x:c r="E90" s="18"/>
      <x:c r="F90" s="18"/>
      <x:c r="G90" s="18"/>
    </x:row>
    <x:row r="91">
      <x:c r="A91" s="18"/>
      <x:c r="B91" s="18"/>
      <x:c r="C91" s="18"/>
      <x:c r="D91" s="18"/>
      <x:c r="E91" s="18"/>
      <x:c r="F91" s="18"/>
      <x:c r="G91" s="18"/>
    </x:row>
    <x:row r="92">
      <x:c r="A92" s="18"/>
      <x:c r="B92" s="18"/>
      <x:c r="C92" s="18"/>
      <x:c r="D92" s="18"/>
      <x:c r="E92" s="18"/>
      <x:c r="F92" s="18"/>
      <x:c r="G92" s="18"/>
    </x:row>
    <x:row r="93">
      <x:c r="A93" s="18"/>
      <x:c r="B93" s="18"/>
      <x:c r="C93" s="18"/>
      <x:c r="D93" s="18"/>
      <x:c r="E93" s="18"/>
      <x:c r="F93" s="18"/>
      <x:c r="G93" s="18"/>
    </x:row>
    <x:row r="94">
      <x:c r="A94" s="18"/>
      <x:c r="B94" s="18"/>
      <x:c r="C94" s="18"/>
      <x:c r="D94" s="18"/>
      <x:c r="E94" s="18"/>
      <x:c r="F94" s="18"/>
      <x:c r="G94" s="18"/>
    </x:row>
    <x:row r="95">
      <x:c r="A95" s="18"/>
      <x:c r="B95" s="18"/>
      <x:c r="C95" s="18"/>
      <x:c r="D95" s="18"/>
      <x:c r="E95" s="18"/>
      <x:c r="F95" s="18"/>
      <x:c r="G95" s="18"/>
    </x:row>
    <x:row r="96">
      <x:c r="A96" s="18"/>
      <x:c r="B96" s="18"/>
      <x:c r="C96" s="18"/>
      <x:c r="D96" s="18"/>
      <x:c r="E96" s="18"/>
      <x:c r="F96" s="18"/>
      <x:c r="G96" s="18"/>
    </x:row>
    <x:row r="97">
      <x:c r="A97" s="18"/>
      <x:c r="B97" s="18"/>
      <x:c r="C97" s="18"/>
      <x:c r="D97" s="18"/>
      <x:c r="E97" s="18"/>
      <x:c r="F97" s="18"/>
      <x:c r="G97" s="18"/>
    </x:row>
    <x:row r="98">
      <x:c r="A98" s="18"/>
      <x:c r="B98" s="18"/>
      <x:c r="C98" s="18"/>
      <x:c r="D98" s="18"/>
      <x:c r="E98" s="18"/>
      <x:c r="F98" s="18"/>
      <x:c r="G98" s="18"/>
    </x:row>
    <x:row r="99">
      <x:c r="A99" s="18"/>
      <x:c r="B99" s="18"/>
      <x:c r="C99" s="18"/>
      <x:c r="D99" s="18"/>
      <x:c r="E99" s="18"/>
      <x:c r="F99" s="18"/>
      <x:c r="G99" s="18"/>
    </x:row>
    <x:row r="100">
      <x:c r="A100" s="18"/>
      <x:c r="B100" s="18"/>
      <x:c r="C100" s="18"/>
      <x:c r="D100" s="18"/>
      <x:c r="E100" s="18"/>
      <x:c r="F100" s="18"/>
      <x:c r="G100" s="18"/>
    </x:row>
    <x:row r="101">
      <x:c r="A101" s="18"/>
      <x:c r="B101" s="18"/>
      <x:c r="C101" s="18"/>
      <x:c r="D101" s="18"/>
      <x:c r="E101" s="18"/>
      <x:c r="F101" s="18"/>
      <x:c r="G101" s="18"/>
    </x:row>
    <x:row r="102">
      <x:c r="A102" s="18"/>
      <x:c r="B102" s="18"/>
      <x:c r="C102" s="18"/>
      <x:c r="D102" s="18"/>
      <x:c r="E102" s="18"/>
      <x:c r="F102" s="18"/>
      <x:c r="G102" s="18"/>
    </x:row>
    <x:row r="103">
      <x:c r="A103" s="18"/>
      <x:c r="B103" s="18"/>
      <x:c r="C103" s="18"/>
      <x:c r="D103" s="18"/>
      <x:c r="E103" s="18"/>
      <x:c r="F103" s="18"/>
      <x:c r="G103" s="18"/>
    </x:row>
    <x:row r="104">
      <x:c r="A104" s="18"/>
      <x:c r="B104" s="18"/>
      <x:c r="C104" s="18"/>
      <x:c r="D104" s="18"/>
      <x:c r="E104" s="18"/>
      <x:c r="F104" s="18"/>
      <x:c r="G104" s="18"/>
    </x:row>
    <x:row r="105">
      <x:c r="A105" s="18"/>
      <x:c r="B105" s="18"/>
      <x:c r="C105" s="18"/>
      <x:c r="D105" s="18"/>
      <x:c r="E105" s="18"/>
      <x:c r="F105" s="18"/>
      <x:c r="G105" s="18"/>
    </x:row>
    <x:row r="106">
      <x:c r="A106" s="18"/>
      <x:c r="B106" s="18"/>
      <x:c r="C106" s="18"/>
      <x:c r="D106" s="18"/>
      <x:c r="E106" s="18"/>
      <x:c r="F106" s="18"/>
      <x:c r="G106" s="18"/>
    </x:row>
    <x:row r="107">
      <x:c r="A107" s="18"/>
      <x:c r="B107" s="18"/>
      <x:c r="C107" s="18"/>
      <x:c r="D107" s="18"/>
      <x:c r="E107" s="18"/>
      <x:c r="F107" s="18"/>
      <x:c r="G107" s="18"/>
    </x:row>
    <x:row r="108">
      <x:c r="A108" s="18"/>
      <x:c r="B108" s="18"/>
      <x:c r="C108" s="18"/>
      <x:c r="D108" s="18"/>
      <x:c r="E108" s="18"/>
      <x:c r="F108" s="18"/>
      <x:c r="G108" s="18"/>
    </x:row>
    <x:row r="109">
      <x:c r="A109" s="18"/>
      <x:c r="B109" s="18"/>
      <x:c r="C109" s="18"/>
      <x:c r="D109" s="18"/>
      <x:c r="E109" s="18"/>
      <x:c r="F109" s="18"/>
      <x:c r="G109" s="18"/>
    </x:row>
    <x:row r="110">
      <x:c r="A110" s="18"/>
      <x:c r="B110" s="18"/>
      <x:c r="C110" s="18"/>
      <x:c r="D110" s="18"/>
      <x:c r="E110" s="18"/>
      <x:c r="F110" s="18"/>
      <x:c r="G110" s="18"/>
    </x:row>
    <x:row r="111">
      <x:c r="A111" s="18"/>
      <x:c r="B111" s="18"/>
      <x:c r="C111" s="18"/>
      <x:c r="D111" s="18"/>
      <x:c r="E111" s="18"/>
      <x:c r="F111" s="18"/>
      <x:c r="G111" s="18"/>
    </x:row>
    <x:row r="112">
      <x:c r="A112" s="18"/>
      <x:c r="B112" s="18"/>
      <x:c r="C112" s="18"/>
      <x:c r="D112" s="18"/>
      <x:c r="E112" s="18"/>
      <x:c r="F112" s="18"/>
      <x:c r="G112" s="18"/>
    </x:row>
    <x:row r="113">
      <x:c r="A113" s="18"/>
      <x:c r="B113" s="18"/>
      <x:c r="C113" s="18"/>
      <x:c r="D113" s="18"/>
      <x:c r="E113" s="18"/>
      <x:c r="F113" s="18"/>
      <x:c r="G113" s="18"/>
    </x:row>
    <x:row r="114">
      <x:c r="A114" s="18"/>
      <x:c r="B114" s="18"/>
      <x:c r="C114" s="18"/>
      <x:c r="D114" s="18"/>
      <x:c r="E114" s="18"/>
      <x:c r="F114" s="18"/>
      <x:c r="G114" s="18"/>
    </x:row>
    <x:row r="115">
      <x:c r="A115" s="18"/>
      <x:c r="B115" s="18"/>
      <x:c r="C115" s="18"/>
      <x:c r="D115" s="18"/>
      <x:c r="E115" s="18"/>
      <x:c r="F115" s="18"/>
      <x:c r="G115" s="18"/>
    </x:row>
    <x:row r="116">
      <x:c r="A116" s="18"/>
      <x:c r="B116" s="18"/>
      <x:c r="C116" s="18"/>
      <x:c r="D116" s="18"/>
      <x:c r="E116" s="18"/>
      <x:c r="F116" s="18"/>
      <x:c r="G116" s="18"/>
    </x:row>
    <x:row r="117">
      <x:c r="A117" s="18"/>
      <x:c r="B117" s="18"/>
      <x:c r="C117" s="18"/>
      <x:c r="D117" s="18"/>
      <x:c r="E117" s="18"/>
      <x:c r="F117" s="18"/>
      <x:c r="G117" s="18"/>
    </x:row>
    <x:row r="118">
      <x:c r="A118" s="18"/>
      <x:c r="B118" s="18"/>
      <x:c r="C118" s="18"/>
      <x:c r="D118" s="18"/>
      <x:c r="E118" s="18"/>
      <x:c r="F118" s="18"/>
      <x:c r="G118" s="18"/>
    </x:row>
    <x:row r="119">
      <x:c r="A119" s="18"/>
      <x:c r="B119" s="18"/>
      <x:c r="C119" s="18"/>
      <x:c r="D119" s="18"/>
      <x:c r="E119" s="18"/>
      <x:c r="F119" s="18"/>
      <x:c r="G119" s="18"/>
    </x:row>
    <x:row r="120">
      <x:c r="A120" s="18"/>
      <x:c r="B120" s="18"/>
      <x:c r="C120" s="18"/>
      <x:c r="D120" s="18"/>
      <x:c r="E120" s="18"/>
      <x:c r="F120" s="18"/>
      <x:c r="G120" s="18"/>
    </x:row>
    <x:row r="121">
      <x:c r="A121" s="18"/>
      <x:c r="B121" s="18"/>
      <x:c r="C121" s="18"/>
      <x:c r="D121" s="18"/>
      <x:c r="E121" s="18"/>
      <x:c r="F121" s="18"/>
      <x:c r="G121" s="18"/>
    </x:row>
    <x:row r="122">
      <x:c r="A122" s="18"/>
      <x:c r="B122" s="18"/>
      <x:c r="C122" s="18"/>
      <x:c r="D122" s="18"/>
      <x:c r="E122" s="18"/>
      <x:c r="F122" s="18"/>
      <x:c r="G122" s="18"/>
    </x:row>
    <x:row r="123">
      <x:c r="A123" s="18"/>
      <x:c r="B123" s="18"/>
      <x:c r="C123" s="18"/>
      <x:c r="D123" s="18"/>
      <x:c r="E123" s="18"/>
      <x:c r="F123" s="18"/>
      <x:c r="G123" s="18"/>
    </x:row>
    <x:row r="124">
      <x:c r="A124" s="18"/>
      <x:c r="B124" s="18"/>
      <x:c r="C124" s="18"/>
      <x:c r="D124" s="18"/>
      <x:c r="E124" s="18"/>
      <x:c r="F124" s="18"/>
      <x:c r="G124" s="18"/>
    </x:row>
    <x:row r="125">
      <x:c r="A125" s="18"/>
      <x:c r="B125" s="18"/>
      <x:c r="C125" s="18"/>
      <x:c r="D125" s="18"/>
      <x:c r="E125" s="18"/>
      <x:c r="F125" s="18"/>
      <x:c r="G125" s="18"/>
    </x:row>
    <x:row r="126">
      <x:c r="A126" s="18"/>
      <x:c r="B126" s="18"/>
      <x:c r="C126" s="18"/>
      <x:c r="D126" s="18"/>
      <x:c r="E126" s="18"/>
      <x:c r="F126" s="18"/>
      <x:c r="G126" s="18"/>
    </x:row>
    <x:row r="127">
      <x:c r="A127" s="18"/>
      <x:c r="B127" s="18"/>
      <x:c r="C127" s="18"/>
      <x:c r="D127" s="18"/>
      <x:c r="E127" s="18"/>
      <x:c r="F127" s="18"/>
      <x:c r="G127" s="18"/>
    </x:row>
    <x:row r="128">
      <x:c r="A128" s="18"/>
      <x:c r="B128" s="18"/>
      <x:c r="C128" s="18"/>
      <x:c r="D128" s="18"/>
      <x:c r="E128" s="18"/>
      <x:c r="F128" s="18"/>
      <x:c r="G128" s="18"/>
    </x:row>
    <x:row r="129">
      <x:c r="A129" s="18"/>
      <x:c r="B129" s="18"/>
      <x:c r="C129" s="18"/>
      <x:c r="D129" s="18"/>
      <x:c r="E129" s="18"/>
      <x:c r="F129" s="18"/>
      <x:c r="G129" s="18"/>
    </x:row>
    <x:row r="130">
      <x:c r="A130" s="18"/>
      <x:c r="B130" s="18"/>
      <x:c r="C130" s="18"/>
      <x:c r="D130" s="18"/>
      <x:c r="E130" s="18"/>
      <x:c r="F130" s="18"/>
      <x:c r="G130" s="18"/>
    </x:row>
    <x:row r="131">
      <x:c r="A131" s="18"/>
      <x:c r="B131" s="18"/>
      <x:c r="C131" s="18"/>
      <x:c r="D131" s="18"/>
      <x:c r="E131" s="18"/>
      <x:c r="F131" s="18"/>
      <x:c r="G131" s="18"/>
    </x:row>
    <x:row r="132">
      <x:c r="A132" s="18"/>
      <x:c r="B132" s="18"/>
      <x:c r="C132" s="18"/>
      <x:c r="D132" s="18"/>
      <x:c r="E132" s="18"/>
      <x:c r="F132" s="18"/>
      <x:c r="G132" s="18"/>
    </x:row>
    <x:row r="133">
      <x:c r="A133" s="18"/>
      <x:c r="B133" s="18"/>
      <x:c r="C133" s="18"/>
      <x:c r="D133" s="18"/>
      <x:c r="E133" s="18"/>
      <x:c r="F133" s="18"/>
      <x:c r="G133" s="18"/>
    </x:row>
    <x:row r="134">
      <x:c r="A134" s="18"/>
      <x:c r="B134" s="18"/>
      <x:c r="C134" s="18"/>
      <x:c r="D134" s="18"/>
      <x:c r="E134" s="18"/>
      <x:c r="F134" s="18"/>
      <x:c r="G134" s="18"/>
    </x:row>
    <x:row r="135">
      <x:c r="A135" s="18"/>
      <x:c r="B135" s="18"/>
      <x:c r="C135" s="18"/>
      <x:c r="D135" s="18"/>
      <x:c r="E135" s="18"/>
      <x:c r="F135" s="18"/>
      <x:c r="G135" s="18"/>
    </x:row>
    <x:row r="136">
      <x:c r="A136" s="18"/>
      <x:c r="B136" s="18"/>
      <x:c r="C136" s="18"/>
      <x:c r="D136" s="18"/>
      <x:c r="E136" s="18"/>
      <x:c r="F136" s="18"/>
      <x:c r="G136" s="18"/>
    </x:row>
    <x:row r="137">
      <x:c r="A137" s="18"/>
      <x:c r="B137" s="18"/>
      <x:c r="C137" s="18"/>
      <x:c r="D137" s="18"/>
      <x:c r="E137" s="18"/>
      <x:c r="F137" s="18"/>
      <x:c r="G137" s="18"/>
    </x:row>
    <x:row r="138">
      <x:c r="A138" s="18"/>
      <x:c r="B138" s="18"/>
      <x:c r="C138" s="18"/>
      <x:c r="D138" s="18"/>
      <x:c r="E138" s="18"/>
      <x:c r="F138" s="18"/>
      <x:c r="G138" s="18"/>
    </x:row>
    <x:row r="139">
      <x:c r="A139" s="18"/>
      <x:c r="B139" s="18"/>
      <x:c r="C139" s="18"/>
      <x:c r="D139" s="18"/>
      <x:c r="E139" s="18"/>
      <x:c r="F139" s="18"/>
      <x:c r="G139" s="18"/>
    </x:row>
    <x:row r="140">
      <x:c r="A140" s="18"/>
      <x:c r="B140" s="18"/>
      <x:c r="C140" s="18"/>
      <x:c r="D140" s="18"/>
      <x:c r="E140" s="18"/>
      <x:c r="F140" s="18"/>
      <x:c r="G140" s="18"/>
    </x:row>
    <x:row r="141">
      <x:c r="A141" s="18"/>
      <x:c r="B141" s="18"/>
      <x:c r="C141" s="18"/>
      <x:c r="D141" s="18"/>
      <x:c r="E141" s="18"/>
      <x:c r="F141" s="18"/>
      <x:c r="G141" s="18"/>
    </x:row>
    <x:row r="142">
      <x:c r="A142" s="18"/>
      <x:c r="B142" s="18"/>
      <x:c r="C142" s="18"/>
      <x:c r="D142" s="18"/>
      <x:c r="E142" s="18"/>
      <x:c r="F142" s="18"/>
      <x:c r="G142" s="18"/>
    </x:row>
    <x:row r="143">
      <x:c r="A143" s="18"/>
      <x:c r="B143" s="18"/>
      <x:c r="C143" s="18"/>
      <x:c r="D143" s="18"/>
      <x:c r="E143" s="18"/>
      <x:c r="F143" s="18"/>
      <x:c r="G143" s="18"/>
    </x:row>
    <x:row r="144">
      <x:c r="A144" s="18"/>
      <x:c r="B144" s="18"/>
      <x:c r="C144" s="18"/>
      <x:c r="D144" s="18"/>
      <x:c r="E144" s="18"/>
      <x:c r="F144" s="18"/>
      <x:c r="G144" s="18"/>
    </x:row>
    <x:row r="145">
      <x:c r="A145" s="18"/>
      <x:c r="B145" s="18"/>
      <x:c r="C145" s="18"/>
      <x:c r="D145" s="18"/>
      <x:c r="E145" s="18"/>
      <x:c r="F145" s="18"/>
      <x:c r="G145" s="18"/>
    </x:row>
    <x:row r="146">
      <x:c r="A146" s="18"/>
      <x:c r="B146" s="18"/>
      <x:c r="C146" s="18"/>
      <x:c r="D146" s="18"/>
      <x:c r="E146" s="18"/>
      <x:c r="F146" s="18"/>
      <x:c r="G146" s="18"/>
    </x:row>
    <x:row r="147">
      <x:c r="A147" s="18"/>
      <x:c r="B147" s="18"/>
      <x:c r="C147" s="18"/>
      <x:c r="D147" s="18"/>
      <x:c r="E147" s="18"/>
      <x:c r="F147" s="18"/>
      <x:c r="G147" s="18"/>
    </x:row>
    <x:row r="148">
      <x:c r="A148" s="18"/>
      <x:c r="B148" s="18"/>
      <x:c r="C148" s="18"/>
      <x:c r="D148" s="18"/>
      <x:c r="E148" s="18"/>
      <x:c r="F148" s="18"/>
      <x:c r="G148" s="18"/>
    </x:row>
    <x:row r="149">
      <x:c r="A149" s="18"/>
      <x:c r="B149" s="18"/>
      <x:c r="C149" s="18"/>
      <x:c r="D149" s="18"/>
      <x:c r="E149" s="18"/>
      <x:c r="F149" s="18"/>
      <x:c r="G149" s="18"/>
    </x:row>
    <x:row r="150">
      <x:c r="A150" s="18"/>
      <x:c r="B150" s="18"/>
      <x:c r="C150" s="18"/>
      <x:c r="D150" s="18"/>
      <x:c r="E150" s="18"/>
      <x:c r="F150" s="18"/>
      <x:c r="G150" s="18"/>
    </x:row>
    <x:row r="151">
      <x:c r="A151" s="18"/>
      <x:c r="B151" s="18"/>
      <x:c r="C151" s="18"/>
      <x:c r="D151" s="18"/>
      <x:c r="E151" s="18"/>
      <x:c r="F151" s="18"/>
      <x:c r="G151" s="18"/>
    </x:row>
    <x:row r="152">
      <x:c r="A152" s="18"/>
      <x:c r="B152" s="18"/>
      <x:c r="C152" s="18"/>
      <x:c r="D152" s="18"/>
      <x:c r="E152" s="18"/>
      <x:c r="F152" s="18"/>
      <x:c r="G152" s="18"/>
    </x:row>
    <x:row r="153">
      <x:c r="A153" s="18"/>
      <x:c r="B153" s="18"/>
      <x:c r="C153" s="18"/>
      <x:c r="D153" s="18"/>
      <x:c r="E153" s="18"/>
      <x:c r="F153" s="18"/>
      <x:c r="G153" s="18"/>
    </x:row>
    <x:row r="154">
      <x:c r="A154" s="18"/>
      <x:c r="B154" s="18"/>
      <x:c r="C154" s="18"/>
      <x:c r="D154" s="18"/>
      <x:c r="E154" s="18"/>
      <x:c r="F154" s="18"/>
      <x:c r="G154" s="18"/>
    </x:row>
    <x:row r="155">
      <x:c r="A155" s="18"/>
      <x:c r="B155" s="18"/>
      <x:c r="C155" s="18"/>
      <x:c r="D155" s="18"/>
      <x:c r="E155" s="18"/>
      <x:c r="F155" s="18"/>
      <x:c r="G155" s="18"/>
    </x:row>
    <x:row r="156">
      <x:c r="A156" s="18"/>
      <x:c r="B156" s="18"/>
      <x:c r="C156" s="18"/>
      <x:c r="D156" s="18"/>
      <x:c r="E156" s="18"/>
      <x:c r="F156" s="18"/>
      <x:c r="G156" s="18"/>
    </x:row>
    <x:row r="157">
      <x:c r="A157" s="18"/>
      <x:c r="B157" s="18"/>
      <x:c r="C157" s="18"/>
      <x:c r="D157" s="18"/>
      <x:c r="E157" s="18"/>
      <x:c r="F157" s="18"/>
      <x:c r="G157" s="18"/>
    </x:row>
    <x:row r="158">
      <x:c r="A158" s="18"/>
      <x:c r="B158" s="18"/>
      <x:c r="C158" s="18"/>
      <x:c r="D158" s="18"/>
      <x:c r="E158" s="18"/>
      <x:c r="F158" s="18"/>
      <x:c r="G158" s="18"/>
    </x:row>
    <x:row r="159">
      <x:c r="A159" s="18"/>
      <x:c r="B159" s="18"/>
      <x:c r="C159" s="18"/>
      <x:c r="D159" s="18"/>
      <x:c r="E159" s="18"/>
      <x:c r="F159" s="18"/>
      <x:c r="G159" s="18"/>
    </x:row>
    <x:row r="160">
      <x:c r="A160" s="18"/>
      <x:c r="B160" s="18"/>
      <x:c r="C160" s="18"/>
      <x:c r="D160" s="18"/>
      <x:c r="E160" s="18"/>
      <x:c r="F160" s="18"/>
      <x:c r="G160" s="18"/>
    </x:row>
    <x:row r="161">
      <x:c r="A161" s="18"/>
      <x:c r="B161" s="18"/>
      <x:c r="C161" s="18"/>
      <x:c r="D161" s="18"/>
      <x:c r="E161" s="18"/>
      <x:c r="F161" s="18"/>
      <x:c r="G161" s="18"/>
    </x:row>
    <x:row r="162">
      <x:c r="A162" s="18"/>
      <x:c r="B162" s="18"/>
      <x:c r="C162" s="18"/>
      <x:c r="D162" s="18"/>
      <x:c r="E162" s="18"/>
      <x:c r="F162" s="18"/>
      <x:c r="G162" s="18"/>
    </x:row>
    <x:row r="163">
      <x:c r="A163" s="18"/>
      <x:c r="B163" s="18"/>
      <x:c r="C163" s="18"/>
      <x:c r="D163" s="18"/>
      <x:c r="E163" s="18"/>
      <x:c r="F163" s="18"/>
      <x:c r="G163" s="18"/>
    </x:row>
    <x:row r="164">
      <x:c r="A164" s="18"/>
      <x:c r="B164" s="18"/>
      <x:c r="C164" s="18"/>
      <x:c r="D164" s="18"/>
      <x:c r="E164" s="18"/>
      <x:c r="F164" s="18"/>
      <x:c r="G164" s="18"/>
    </x:row>
    <x:row r="165">
      <x:c r="A165" s="18"/>
      <x:c r="B165" s="18"/>
      <x:c r="C165" s="18"/>
      <x:c r="D165" s="18"/>
      <x:c r="E165" s="18"/>
      <x:c r="F165" s="18"/>
      <x:c r="G165" s="18"/>
    </x:row>
    <x:row r="166">
      <x:c r="A166" s="18"/>
      <x:c r="B166" s="18"/>
      <x:c r="C166" s="18"/>
      <x:c r="D166" s="18"/>
      <x:c r="E166" s="18"/>
      <x:c r="F166" s="18"/>
      <x:c r="G166" s="18"/>
    </x:row>
    <x:row r="167">
      <x:c r="A167" s="18"/>
      <x:c r="B167" s="18"/>
      <x:c r="C167" s="18"/>
      <x:c r="D167" s="18"/>
      <x:c r="E167" s="18"/>
      <x:c r="F167" s="18"/>
      <x:c r="G167" s="18"/>
    </x:row>
    <x:row r="168">
      <x:c r="A168" s="18"/>
      <x:c r="B168" s="18"/>
      <x:c r="C168" s="18"/>
      <x:c r="D168" s="18"/>
      <x:c r="E168" s="18"/>
      <x:c r="F168" s="18"/>
      <x:c r="G168" s="18"/>
    </x:row>
    <x:row r="169">
      <x:c r="A169" s="18"/>
      <x:c r="B169" s="18"/>
      <x:c r="C169" s="18"/>
      <x:c r="D169" s="18"/>
      <x:c r="E169" s="18"/>
      <x:c r="F169" s="18"/>
      <x:c r="G169" s="18"/>
    </x:row>
    <x:row r="170">
      <x:c r="A170" s="18"/>
      <x:c r="B170" s="18"/>
      <x:c r="C170" s="18"/>
      <x:c r="D170" s="18"/>
      <x:c r="E170" s="18"/>
      <x:c r="F170" s="18"/>
      <x:c r="G170" s="18"/>
    </x:row>
    <x:row r="171">
      <x:c r="A171" s="18"/>
      <x:c r="B171" s="18"/>
      <x:c r="C171" s="18"/>
      <x:c r="D171" s="18"/>
      <x:c r="E171" s="18"/>
      <x:c r="F171" s="18"/>
      <x:c r="G171" s="18"/>
    </x:row>
    <x:row r="172">
      <x:c r="A172" s="18"/>
      <x:c r="B172" s="18"/>
      <x:c r="C172" s="18"/>
      <x:c r="D172" s="18"/>
      <x:c r="E172" s="18"/>
      <x:c r="F172" s="18"/>
      <x:c r="G172" s="18"/>
    </x:row>
    <x:row r="173">
      <x:c r="A173" s="18"/>
      <x:c r="B173" s="18"/>
      <x:c r="C173" s="18"/>
      <x:c r="D173" s="18"/>
      <x:c r="E173" s="18"/>
      <x:c r="F173" s="18"/>
      <x:c r="G173" s="18"/>
    </x:row>
    <x:row r="174">
      <x:c r="A174" s="18"/>
      <x:c r="B174" s="18"/>
      <x:c r="C174" s="18"/>
      <x:c r="D174" s="18"/>
      <x:c r="E174" s="18"/>
      <x:c r="F174" s="18"/>
      <x:c r="G174" s="18"/>
    </x:row>
    <x:row r="175">
      <x:c r="A175" s="18"/>
      <x:c r="B175" s="18"/>
      <x:c r="C175" s="18"/>
      <x:c r="D175" s="18"/>
      <x:c r="E175" s="18"/>
      <x:c r="F175" s="18"/>
      <x:c r="G175" s="18"/>
    </x:row>
    <x:row r="176">
      <x:c r="A176" s="18"/>
      <x:c r="B176" s="18"/>
      <x:c r="C176" s="18"/>
      <x:c r="D176" s="18"/>
      <x:c r="E176" s="18"/>
      <x:c r="F176" s="18"/>
      <x:c r="G176" s="18"/>
    </x:row>
    <x:row r="177">
      <x:c r="A177" s="18"/>
      <x:c r="B177" s="18"/>
      <x:c r="C177" s="18"/>
      <x:c r="D177" s="18"/>
      <x:c r="E177" s="18"/>
      <x:c r="F177" s="18"/>
      <x:c r="G177" s="18"/>
    </x:row>
    <x:row r="178">
      <x:c r="A178" s="18"/>
      <x:c r="B178" s="18"/>
      <x:c r="C178" s="18"/>
      <x:c r="D178" s="18"/>
      <x:c r="E178" s="18"/>
      <x:c r="F178" s="18"/>
      <x:c r="G178" s="18"/>
    </x:row>
    <x:row r="179">
      <x:c r="A179" s="18"/>
      <x:c r="B179" s="18"/>
      <x:c r="C179" s="18"/>
      <x:c r="D179" s="18"/>
      <x:c r="E179" s="18"/>
      <x:c r="F179" s="18"/>
      <x:c r="G179" s="18"/>
    </x:row>
    <x:row r="180">
      <x:c r="A180" s="18"/>
      <x:c r="B180" s="18"/>
      <x:c r="C180" s="18"/>
      <x:c r="D180" s="18"/>
      <x:c r="E180" s="18"/>
      <x:c r="F180" s="18"/>
      <x:c r="G180" s="18"/>
    </x:row>
    <x:row r="181">
      <x:c r="A181" s="18"/>
      <x:c r="B181" s="18"/>
      <x:c r="C181" s="18"/>
      <x:c r="D181" s="18"/>
      <x:c r="E181" s="18"/>
      <x:c r="F181" s="18"/>
      <x:c r="G181" s="18"/>
    </x:row>
    <x:row r="182">
      <x:c r="A182" s="18"/>
      <x:c r="B182" s="18"/>
      <x:c r="C182" s="18"/>
      <x:c r="D182" s="18"/>
      <x:c r="E182" s="18"/>
      <x:c r="F182" s="18"/>
      <x:c r="G182" s="18"/>
    </x:row>
    <x:row r="183">
      <x:c r="A183" s="18"/>
      <x:c r="B183" s="18"/>
      <x:c r="C183" s="18"/>
      <x:c r="D183" s="18"/>
      <x:c r="E183" s="18"/>
      <x:c r="F183" s="18"/>
      <x:c r="G183" s="18"/>
    </x:row>
    <x:row r="184">
      <x:c r="A184" s="18"/>
      <x:c r="B184" s="18"/>
      <x:c r="C184" s="18"/>
      <x:c r="D184" s="18"/>
      <x:c r="E184" s="18"/>
      <x:c r="F184" s="18"/>
      <x:c r="G184" s="18"/>
    </x:row>
    <x:row r="185">
      <x:c r="A185" s="18"/>
      <x:c r="B185" s="18"/>
      <x:c r="C185" s="18"/>
      <x:c r="D185" s="18"/>
      <x:c r="E185" s="18"/>
      <x:c r="F185" s="18"/>
      <x:c r="G185" s="18"/>
    </x:row>
    <x:row r="186">
      <x:c r="A186" s="18"/>
      <x:c r="B186" s="18"/>
      <x:c r="C186" s="18"/>
      <x:c r="D186" s="18"/>
      <x:c r="E186" s="18"/>
      <x:c r="F186" s="18"/>
      <x:c r="G186" s="18"/>
    </x:row>
    <x:row r="187">
      <x:c r="A187" s="18"/>
      <x:c r="B187" s="18"/>
      <x:c r="C187" s="18"/>
      <x:c r="D187" s="18"/>
      <x:c r="E187" s="18"/>
      <x:c r="F187" s="18"/>
      <x:c r="G187" s="18"/>
    </x:row>
    <x:row r="188">
      <x:c r="A188" s="18"/>
      <x:c r="B188" s="18"/>
      <x:c r="C188" s="18"/>
      <x:c r="D188" s="18"/>
      <x:c r="E188" s="18"/>
      <x:c r="F188" s="18"/>
      <x:c r="G188" s="18"/>
    </x:row>
    <x:row r="189">
      <x:c r="A189" s="18"/>
      <x:c r="B189" s="18"/>
      <x:c r="C189" s="18"/>
      <x:c r="D189" s="18"/>
      <x:c r="E189" s="18"/>
      <x:c r="F189" s="18"/>
      <x:c r="G189" s="18"/>
    </x:row>
    <x:row r="190">
      <x:c r="A190" s="18"/>
      <x:c r="B190" s="18"/>
      <x:c r="C190" s="18"/>
      <x:c r="D190" s="18"/>
      <x:c r="E190" s="18"/>
      <x:c r="F190" s="18"/>
      <x:c r="G190" s="18"/>
    </x:row>
    <x:row r="191">
      <x:c r="A191" s="18"/>
      <x:c r="B191" s="18"/>
      <x:c r="C191" s="18"/>
      <x:c r="D191" s="18"/>
      <x:c r="E191" s="18"/>
      <x:c r="F191" s="18"/>
      <x:c r="G191" s="18"/>
    </x:row>
    <x:row r="192">
      <x:c r="A192" s="18"/>
      <x:c r="B192" s="18"/>
      <x:c r="C192" s="18"/>
      <x:c r="D192" s="18"/>
      <x:c r="E192" s="18"/>
      <x:c r="F192" s="18"/>
      <x:c r="G192" s="18"/>
    </x:row>
    <x:row r="193">
      <x:c r="A193" s="18"/>
      <x:c r="B193" s="18"/>
      <x:c r="C193" s="18"/>
      <x:c r="D193" s="18"/>
      <x:c r="E193" s="18"/>
      <x:c r="F193" s="18"/>
      <x:c r="G193" s="18"/>
    </x:row>
    <x:row r="194">
      <x:c r="A194" s="18"/>
      <x:c r="B194" s="18"/>
      <x:c r="C194" s="18"/>
      <x:c r="D194" s="18"/>
      <x:c r="E194" s="18"/>
      <x:c r="F194" s="18"/>
      <x:c r="G194" s="18"/>
    </x:row>
    <x:row r="195">
      <x:c r="A195" s="18"/>
      <x:c r="B195" s="18"/>
      <x:c r="C195" s="18"/>
      <x:c r="D195" s="18"/>
      <x:c r="E195" s="18"/>
      <x:c r="F195" s="18"/>
      <x:c r="G195" s="18"/>
    </x:row>
    <x:row r="196">
      <x:c r="A196" s="18"/>
      <x:c r="B196" s="18"/>
      <x:c r="C196" s="18"/>
      <x:c r="D196" s="18"/>
      <x:c r="E196" s="18"/>
      <x:c r="F196" s="18"/>
      <x:c r="G196" s="18"/>
    </x:row>
    <x:row r="197">
      <x:c r="A197" s="18"/>
      <x:c r="B197" s="18"/>
      <x:c r="C197" s="18"/>
      <x:c r="D197" s="18"/>
      <x:c r="E197" s="18"/>
      <x:c r="F197" s="18"/>
      <x:c r="G197" s="18"/>
    </x:row>
    <x:row r="198">
      <x:c r="A198" s="18"/>
      <x:c r="B198" s="18"/>
      <x:c r="C198" s="18"/>
      <x:c r="D198" s="18"/>
      <x:c r="E198" s="18"/>
      <x:c r="F198" s="18"/>
      <x:c r="G198" s="18"/>
    </x:row>
    <x:row r="199">
      <x:c r="A199" s="18"/>
      <x:c r="B199" s="18"/>
      <x:c r="C199" s="18"/>
      <x:c r="D199" s="18"/>
      <x:c r="E199" s="18"/>
      <x:c r="F199" s="18"/>
      <x:c r="G199" s="18"/>
    </x:row>
    <x:row r="200">
      <x:c r="A200" s="18"/>
      <x:c r="B200" s="18"/>
      <x:c r="C200" s="18"/>
      <x:c r="D200" s="18"/>
      <x:c r="E200" s="18"/>
      <x:c r="F200" s="18"/>
      <x:c r="G200" s="18"/>
    </x:row>
    <x:row r="201">
      <x:c r="A201" s="18"/>
      <x:c r="B201" s="18"/>
      <x:c r="C201" s="18"/>
      <x:c r="D201" s="18"/>
      <x:c r="E201" s="18"/>
      <x:c r="F201" s="18"/>
      <x:c r="G201" s="18"/>
    </x:row>
    <x:row r="202">
      <x:c r="A202" s="18"/>
      <x:c r="B202" s="18"/>
      <x:c r="C202" s="18"/>
      <x:c r="D202" s="18"/>
      <x:c r="E202" s="18"/>
      <x:c r="F202" s="18"/>
      <x:c r="G202" s="18"/>
    </x:row>
    <x:row r="203">
      <x:c r="A203" s="18"/>
      <x:c r="B203" s="18"/>
      <x:c r="C203" s="18"/>
      <x:c r="D203" s="18"/>
      <x:c r="E203" s="18"/>
      <x:c r="F203" s="18"/>
      <x:c r="G203" s="18"/>
    </x:row>
    <x:row r="204">
      <x:c r="A204" s="18"/>
      <x:c r="B204" s="18"/>
      <x:c r="C204" s="18"/>
      <x:c r="D204" s="18"/>
      <x:c r="E204" s="18"/>
      <x:c r="F204" s="18"/>
      <x:c r="G204" s="18"/>
    </x:row>
    <x:row r="205">
      <x:c r="A205" s="18"/>
      <x:c r="B205" s="18"/>
      <x:c r="C205" s="18"/>
      <x:c r="D205" s="18"/>
      <x:c r="E205" s="18"/>
      <x:c r="F205" s="18"/>
      <x:c r="G205" s="18"/>
    </x:row>
    <x:row r="206">
      <x:c r="A206" s="18"/>
      <x:c r="B206" s="18"/>
      <x:c r="C206" s="18"/>
      <x:c r="D206" s="18"/>
      <x:c r="E206" s="18"/>
      <x:c r="F206" s="18"/>
      <x:c r="G206" s="18"/>
    </x:row>
    <x:row r="207">
      <x:c r="A207" s="18"/>
      <x:c r="B207" s="18"/>
      <x:c r="C207" s="18"/>
      <x:c r="D207" s="18"/>
      <x:c r="E207" s="18"/>
      <x:c r="F207" s="18"/>
      <x:c r="G207" s="18"/>
    </x:row>
    <x:row r="208">
      <x:c r="A208" s="18"/>
      <x:c r="B208" s="18"/>
      <x:c r="C208" s="18"/>
      <x:c r="D208" s="18"/>
      <x:c r="E208" s="18"/>
      <x:c r="F208" s="18"/>
      <x:c r="G208" s="18"/>
    </x:row>
    <x:row r="209">
      <x:c r="A209" s="18"/>
      <x:c r="B209" s="18"/>
      <x:c r="C209" s="18"/>
      <x:c r="D209" s="18"/>
      <x:c r="E209" s="18"/>
      <x:c r="F209" s="18"/>
      <x:c r="G209" s="18"/>
    </x:row>
    <x:row r="210">
      <x:c r="A210" s="18"/>
      <x:c r="B210" s="18"/>
      <x:c r="C210" s="18"/>
      <x:c r="D210" s="18"/>
      <x:c r="E210" s="18"/>
      <x:c r="F210" s="18"/>
      <x:c r="G210" s="18"/>
    </x:row>
    <x:row r="211">
      <x:c r="A211" s="18"/>
      <x:c r="B211" s="18"/>
      <x:c r="C211" s="18"/>
      <x:c r="D211" s="18"/>
      <x:c r="E211" s="18"/>
      <x:c r="F211" s="18"/>
      <x:c r="G211" s="18"/>
    </x:row>
    <x:row r="212">
      <x:c r="A212" s="18"/>
      <x:c r="B212" s="18"/>
      <x:c r="C212" s="18"/>
      <x:c r="D212" s="18"/>
      <x:c r="E212" s="18"/>
      <x:c r="F212" s="18"/>
      <x:c r="G212" s="18"/>
    </x:row>
    <x:row r="213">
      <x:c r="A213" s="18"/>
      <x:c r="B213" s="18"/>
      <x:c r="C213" s="18"/>
      <x:c r="D213" s="18"/>
      <x:c r="E213" s="18"/>
      <x:c r="F213" s="18"/>
      <x:c r="G213" s="18"/>
    </x:row>
    <x:row r="214">
      <x:c r="A214" s="18"/>
      <x:c r="B214" s="18"/>
      <x:c r="C214" s="18"/>
      <x:c r="D214" s="18"/>
      <x:c r="E214" s="18"/>
      <x:c r="F214" s="18"/>
      <x:c r="G214" s="18"/>
    </x:row>
    <x:row r="215">
      <x:c r="A215" s="18"/>
      <x:c r="B215" s="18"/>
      <x:c r="C215" s="18"/>
      <x:c r="D215" s="18"/>
      <x:c r="E215" s="18"/>
      <x:c r="F215" s="18"/>
      <x:c r="G215" s="18"/>
    </x:row>
    <x:row r="216">
      <x:c r="A216" s="18"/>
      <x:c r="B216" s="18"/>
      <x:c r="C216" s="18"/>
      <x:c r="D216" s="18"/>
      <x:c r="E216" s="18"/>
      <x:c r="F216" s="18"/>
      <x:c r="G216" s="18"/>
    </x:row>
    <x:row r="217">
      <x:c r="A217" s="18"/>
      <x:c r="B217" s="18"/>
      <x:c r="C217" s="18"/>
      <x:c r="D217" s="18"/>
      <x:c r="E217" s="18"/>
      <x:c r="F217" s="18"/>
      <x:c r="G217" s="18"/>
    </x:row>
    <x:row r="218">
      <x:c r="A218" s="18"/>
      <x:c r="B218" s="18"/>
      <x:c r="C218" s="18"/>
      <x:c r="D218" s="18"/>
      <x:c r="E218" s="18"/>
      <x:c r="F218" s="18"/>
      <x:c r="G218" s="18"/>
    </x:row>
    <x:row r="219">
      <x:c r="A219" s="18"/>
      <x:c r="B219" s="18"/>
      <x:c r="C219" s="18"/>
      <x:c r="D219" s="18"/>
      <x:c r="E219" s="18"/>
      <x:c r="F219" s="18"/>
      <x:c r="G219" s="18"/>
    </x:row>
    <x:row r="220">
      <x:c r="A220" s="18"/>
      <x:c r="B220" s="18"/>
      <x:c r="C220" s="18"/>
      <x:c r="D220" s="18"/>
      <x:c r="E220" s="18"/>
      <x:c r="F220" s="18"/>
      <x:c r="G220" s="18"/>
    </x:row>
    <x:row r="221">
      <x:c r="A221" s="18"/>
      <x:c r="B221" s="18"/>
      <x:c r="C221" s="18"/>
      <x:c r="D221" s="18"/>
      <x:c r="E221" s="18"/>
      <x:c r="F221" s="18"/>
      <x:c r="G221" s="18"/>
    </x:row>
    <x:row r="222">
      <x:c r="A222" s="18"/>
      <x:c r="B222" s="18"/>
      <x:c r="C222" s="18"/>
      <x:c r="D222" s="18"/>
      <x:c r="E222" s="18"/>
      <x:c r="F222" s="18"/>
      <x:c r="G222" s="18"/>
    </x:row>
    <x:row r="223">
      <x:c r="A223" s="18"/>
      <x:c r="B223" s="18"/>
      <x:c r="C223" s="18"/>
      <x:c r="D223" s="18"/>
      <x:c r="E223" s="18"/>
      <x:c r="F223" s="18"/>
      <x:c r="G223" s="18"/>
    </x:row>
    <x:row r="224">
      <x:c r="A224" s="18"/>
      <x:c r="B224" s="18"/>
      <x:c r="C224" s="18"/>
      <x:c r="D224" s="18"/>
      <x:c r="E224" s="18"/>
      <x:c r="F224" s="18"/>
      <x:c r="G224" s="18"/>
    </x:row>
    <x:row r="225">
      <x:c r="A225" s="18"/>
      <x:c r="B225" s="18"/>
      <x:c r="C225" s="18"/>
      <x:c r="D225" s="18"/>
      <x:c r="E225" s="18"/>
      <x:c r="F225" s="18"/>
      <x:c r="G225" s="18"/>
    </x:row>
    <x:row r="226">
      <x:c r="A226" s="18"/>
      <x:c r="B226" s="18"/>
      <x:c r="C226" s="18"/>
      <x:c r="D226" s="18"/>
      <x:c r="E226" s="18"/>
      <x:c r="F226" s="18"/>
      <x:c r="G226" s="18"/>
    </x:row>
    <x:row r="227">
      <x:c r="A227" s="18"/>
      <x:c r="B227" s="18"/>
      <x:c r="C227" s="18"/>
      <x:c r="D227" s="18"/>
      <x:c r="E227" s="18"/>
      <x:c r="F227" s="18"/>
      <x:c r="G227" s="18"/>
    </x:row>
    <x:row r="228">
      <x:c r="A228" s="18"/>
      <x:c r="B228" s="18"/>
      <x:c r="C228" s="18"/>
      <x:c r="D228" s="18"/>
      <x:c r="E228" s="18"/>
      <x:c r="F228" s="18"/>
      <x:c r="G228" s="18"/>
    </x:row>
    <x:row r="229">
      <x:c r="A229" s="18"/>
      <x:c r="B229" s="18"/>
      <x:c r="C229" s="18"/>
      <x:c r="D229" s="18"/>
      <x:c r="E229" s="18"/>
      <x:c r="F229" s="18"/>
      <x:c r="G229" s="18"/>
    </x:row>
    <x:row r="230">
      <x:c r="A230" s="18"/>
      <x:c r="B230" s="18"/>
      <x:c r="C230" s="18"/>
      <x:c r="D230" s="18"/>
      <x:c r="E230" s="18"/>
      <x:c r="F230" s="18"/>
      <x:c r="G230" s="18"/>
    </x:row>
    <x:row r="231">
      <x:c r="A231" s="18"/>
      <x:c r="B231" s="18"/>
      <x:c r="C231" s="18"/>
      <x:c r="D231" s="18"/>
      <x:c r="E231" s="18"/>
      <x:c r="F231" s="18"/>
      <x:c r="G231" s="18"/>
    </x:row>
    <x:row r="232">
      <x:c r="A232" s="18"/>
      <x:c r="B232" s="18"/>
      <x:c r="C232" s="18"/>
      <x:c r="D232" s="18"/>
      <x:c r="E232" s="18"/>
      <x:c r="F232" s="18"/>
      <x:c r="G232" s="18"/>
    </x:row>
    <x:row r="233">
      <x:c r="A233" s="18"/>
      <x:c r="B233" s="18"/>
      <x:c r="C233" s="18"/>
      <x:c r="D233" s="18"/>
      <x:c r="E233" s="18"/>
      <x:c r="F233" s="18"/>
      <x:c r="G233" s="18"/>
    </x:row>
    <x:row r="234">
      <x:c r="A234" s="18"/>
      <x:c r="B234" s="18"/>
      <x:c r="C234" s="18"/>
      <x:c r="D234" s="18"/>
      <x:c r="E234" s="18"/>
      <x:c r="F234" s="18"/>
      <x:c r="G234" s="18"/>
    </x:row>
    <x:row r="235">
      <x:c r="A235" s="18"/>
      <x:c r="B235" s="18"/>
      <x:c r="C235" s="18"/>
      <x:c r="D235" s="18"/>
      <x:c r="E235" s="18"/>
      <x:c r="F235" s="18"/>
      <x:c r="G235" s="18"/>
    </x:row>
    <x:row r="236">
      <x:c r="A236" s="18"/>
      <x:c r="B236" s="18"/>
      <x:c r="C236" s="18"/>
      <x:c r="D236" s="18"/>
      <x:c r="E236" s="18"/>
      <x:c r="F236" s="18"/>
      <x:c r="G236" s="18"/>
    </x:row>
    <x:row r="237">
      <x:c r="A237" s="18"/>
      <x:c r="B237" s="18"/>
      <x:c r="C237" s="18"/>
      <x:c r="D237" s="18"/>
      <x:c r="E237" s="18"/>
      <x:c r="F237" s="18"/>
      <x:c r="G237" s="18"/>
    </x:row>
    <x:row r="238">
      <x:c r="A238" s="18"/>
      <x:c r="B238" s="18"/>
      <x:c r="C238" s="18"/>
      <x:c r="D238" s="18"/>
      <x:c r="E238" s="18"/>
      <x:c r="F238" s="18"/>
      <x:c r="G238" s="18"/>
    </x:row>
    <x:row r="239">
      <x:c r="A239" s="18"/>
      <x:c r="B239" s="18"/>
      <x:c r="C239" s="18"/>
      <x:c r="D239" s="18"/>
      <x:c r="E239" s="18"/>
      <x:c r="F239" s="18"/>
      <x:c r="G239" s="18"/>
    </x:row>
    <x:row r="240">
      <x:c r="A240" s="18"/>
      <x:c r="B240" s="18"/>
      <x:c r="C240" s="18"/>
      <x:c r="D240" s="18"/>
      <x:c r="E240" s="18"/>
      <x:c r="F240" s="18"/>
      <x:c r="G240" s="18"/>
    </x:row>
    <x:row r="241">
      <x:c r="A241" s="18"/>
      <x:c r="B241" s="18"/>
      <x:c r="C241" s="18"/>
      <x:c r="D241" s="18"/>
      <x:c r="E241" s="18"/>
      <x:c r="F241" s="18"/>
      <x:c r="G241" s="18"/>
    </x:row>
    <x:row r="242">
      <x:c r="A242" s="18"/>
      <x:c r="B242" s="18"/>
      <x:c r="C242" s="18"/>
      <x:c r="D242" s="18"/>
      <x:c r="E242" s="18"/>
      <x:c r="F242" s="18"/>
      <x:c r="G242" s="18"/>
    </x:row>
    <x:row r="243">
      <x:c r="A243" s="18"/>
      <x:c r="B243" s="18"/>
      <x:c r="C243" s="18"/>
      <x:c r="D243" s="18"/>
      <x:c r="E243" s="18"/>
      <x:c r="F243" s="18"/>
      <x:c r="G243" s="18"/>
    </x:row>
    <x:row r="244">
      <x:c r="A244" s="18"/>
      <x:c r="B244" s="18"/>
      <x:c r="C244" s="18"/>
      <x:c r="D244" s="18"/>
      <x:c r="E244" s="18"/>
      <x:c r="F244" s="18"/>
      <x:c r="G244" s="18"/>
    </x:row>
    <x:row r="245">
      <x:c r="A245" s="18"/>
      <x:c r="B245" s="18"/>
      <x:c r="C245" s="18"/>
      <x:c r="D245" s="18"/>
      <x:c r="E245" s="18"/>
      <x:c r="F245" s="18"/>
      <x:c r="G245" s="18"/>
    </x:row>
    <x:row r="246">
      <x:c r="A246" s="18"/>
      <x:c r="B246" s="18"/>
      <x:c r="C246" s="18"/>
      <x:c r="D246" s="18"/>
      <x:c r="E246" s="18"/>
      <x:c r="F246" s="18"/>
      <x:c r="G246" s="18"/>
    </x:row>
    <x:row r="247">
      <x:c r="A247" s="18"/>
      <x:c r="B247" s="18"/>
      <x:c r="C247" s="18"/>
      <x:c r="D247" s="18"/>
      <x:c r="E247" s="18"/>
      <x:c r="F247" s="18"/>
      <x:c r="G247" s="18"/>
    </x:row>
    <x:row r="248">
      <x:c r="A248" s="18"/>
      <x:c r="B248" s="18"/>
      <x:c r="C248" s="18"/>
      <x:c r="D248" s="18"/>
      <x:c r="E248" s="18"/>
      <x:c r="F248" s="18"/>
      <x:c r="G248" s="18"/>
    </x:row>
    <x:row r="249">
      <x:c r="A249" s="18"/>
      <x:c r="B249" s="18"/>
      <x:c r="C249" s="18"/>
      <x:c r="D249" s="18"/>
      <x:c r="E249" s="18"/>
      <x:c r="F249" s="18"/>
      <x:c r="G249" s="18"/>
    </x:row>
    <x:row r="250">
      <x:c r="A250" s="18"/>
      <x:c r="B250" s="18"/>
      <x:c r="C250" s="18"/>
      <x:c r="D250" s="18"/>
      <x:c r="E250" s="18"/>
      <x:c r="F250" s="18"/>
      <x:c r="G250" s="18"/>
    </x:row>
    <x:row r="251">
      <x:c r="A251" s="18"/>
      <x:c r="B251" s="18"/>
      <x:c r="C251" s="18"/>
      <x:c r="D251" s="18"/>
      <x:c r="E251" s="18"/>
      <x:c r="F251" s="18"/>
      <x:c r="G251" s="18"/>
    </x:row>
    <x:row r="252">
      <x:c r="A252" s="18"/>
      <x:c r="B252" s="18"/>
      <x:c r="C252" s="18"/>
      <x:c r="D252" s="18"/>
      <x:c r="E252" s="18"/>
      <x:c r="F252" s="18"/>
      <x:c r="G252" s="18"/>
    </x:row>
    <x:row r="253">
      <x:c r="A253" s="18"/>
      <x:c r="B253" s="18"/>
      <x:c r="C253" s="18"/>
      <x:c r="D253" s="18"/>
      <x:c r="E253" s="18"/>
      <x:c r="F253" s="18"/>
      <x:c r="G253" s="18"/>
    </x:row>
    <x:row r="254">
      <x:c r="A254" s="18"/>
      <x:c r="B254" s="18"/>
      <x:c r="C254" s="18"/>
      <x:c r="D254" s="18"/>
      <x:c r="E254" s="18"/>
      <x:c r="F254" s="18"/>
      <x:c r="G254" s="18"/>
    </x:row>
    <x:row r="255">
      <x:c r="A255" s="18"/>
      <x:c r="B255" s="18"/>
      <x:c r="C255" s="18"/>
      <x:c r="D255" s="18"/>
      <x:c r="E255" s="18"/>
      <x:c r="F255" s="18"/>
      <x:c r="G255" s="18"/>
    </x:row>
    <x:row r="256">
      <x:c r="A256" s="18"/>
      <x:c r="B256" s="18"/>
      <x:c r="C256" s="18"/>
      <x:c r="D256" s="18"/>
      <x:c r="E256" s="18"/>
      <x:c r="F256" s="18"/>
      <x:c r="G256" s="18"/>
    </x:row>
    <x:row r="257">
      <x:c r="A257" s="18"/>
      <x:c r="B257" s="18"/>
      <x:c r="C257" s="18"/>
      <x:c r="D257" s="18"/>
      <x:c r="E257" s="18"/>
      <x:c r="F257" s="18"/>
      <x:c r="G257" s="18"/>
    </x:row>
    <x:row r="258">
      <x:c r="A258" s="18"/>
      <x:c r="B258" s="18"/>
      <x:c r="C258" s="18"/>
      <x:c r="D258" s="18"/>
      <x:c r="E258" s="18"/>
      <x:c r="F258" s="18"/>
      <x:c r="G258" s="18"/>
    </x:row>
    <x:row r="259">
      <x:c r="A259" s="18"/>
      <x:c r="B259" s="18"/>
      <x:c r="C259" s="18"/>
      <x:c r="D259" s="18"/>
      <x:c r="E259" s="18"/>
      <x:c r="F259" s="18"/>
      <x:c r="G259" s="18"/>
    </x:row>
    <x:row r="260">
      <x:c r="A260" s="18"/>
      <x:c r="B260" s="18"/>
      <x:c r="C260" s="18"/>
      <x:c r="D260" s="18"/>
      <x:c r="E260" s="18"/>
      <x:c r="F260" s="18"/>
      <x:c r="G260" s="18"/>
    </x:row>
    <x:row r="261">
      <x:c r="A261" s="18"/>
      <x:c r="B261" s="18"/>
      <x:c r="C261" s="18"/>
      <x:c r="D261" s="18"/>
      <x:c r="E261" s="18"/>
      <x:c r="F261" s="18"/>
      <x:c r="G261" s="18"/>
    </x:row>
    <x:row r="262">
      <x:c r="A262" s="18"/>
      <x:c r="B262" s="18"/>
      <x:c r="C262" s="18"/>
      <x:c r="D262" s="18"/>
      <x:c r="E262" s="18"/>
      <x:c r="F262" s="18"/>
      <x:c r="G262" s="18"/>
    </x:row>
    <x:row r="263">
      <x:c r="A263" s="18"/>
      <x:c r="B263" s="18"/>
      <x:c r="C263" s="18"/>
      <x:c r="D263" s="18"/>
      <x:c r="E263" s="18"/>
      <x:c r="F263" s="18"/>
      <x:c r="G263" s="18"/>
    </x:row>
    <x:row r="264">
      <x:c r="A264" s="18"/>
      <x:c r="B264" s="18"/>
      <x:c r="C264" s="18"/>
      <x:c r="D264" s="18"/>
      <x:c r="E264" s="18"/>
      <x:c r="F264" s="18"/>
      <x:c r="G264" s="18"/>
    </x:row>
    <x:row r="265">
      <x:c r="A265" s="18"/>
      <x:c r="B265" s="18"/>
      <x:c r="C265" s="18"/>
      <x:c r="D265" s="18"/>
      <x:c r="E265" s="18"/>
      <x:c r="F265" s="18"/>
      <x:c r="G265" s="18"/>
    </x:row>
    <x:row r="266">
      <x:c r="A266" s="18"/>
      <x:c r="B266" s="18"/>
      <x:c r="C266" s="18"/>
      <x:c r="D266" s="18"/>
      <x:c r="E266" s="18"/>
      <x:c r="F266" s="18"/>
      <x:c r="G266" s="18"/>
    </x:row>
    <x:row r="267">
      <x:c r="A267" s="18"/>
      <x:c r="B267" s="18"/>
      <x:c r="C267" s="18"/>
      <x:c r="D267" s="18"/>
      <x:c r="E267" s="18"/>
      <x:c r="F267" s="18"/>
      <x:c r="G267" s="18"/>
    </x:row>
    <x:row r="268">
      <x:c r="A268" s="18"/>
      <x:c r="B268" s="18"/>
      <x:c r="C268" s="18"/>
      <x:c r="D268" s="18"/>
      <x:c r="E268" s="18"/>
      <x:c r="F268" s="18"/>
      <x:c r="G268" s="18"/>
    </x:row>
    <x:row r="269">
      <x:c r="A269" s="18"/>
      <x:c r="B269" s="18"/>
      <x:c r="C269" s="18"/>
      <x:c r="D269" s="18"/>
      <x:c r="E269" s="18"/>
      <x:c r="F269" s="18"/>
      <x:c r="G269" s="18"/>
    </x:row>
    <x:row r="270">
      <x:c r="A270" s="18"/>
      <x:c r="B270" s="18"/>
      <x:c r="C270" s="18"/>
      <x:c r="D270" s="18"/>
      <x:c r="E270" s="18"/>
      <x:c r="F270" s="18"/>
      <x:c r="G270" s="18"/>
    </x:row>
    <x:row r="271">
      <x:c r="A271" s="18"/>
      <x:c r="B271" s="18"/>
      <x:c r="C271" s="18"/>
      <x:c r="D271" s="18"/>
      <x:c r="E271" s="18"/>
      <x:c r="F271" s="18"/>
      <x:c r="G271" s="18"/>
    </x:row>
    <x:row r="272">
      <x:c r="A272" s="18"/>
      <x:c r="B272" s="18"/>
      <x:c r="C272" s="18"/>
      <x:c r="D272" s="18"/>
      <x:c r="E272" s="18"/>
      <x:c r="F272" s="18"/>
      <x:c r="G272" s="18"/>
    </x:row>
    <x:row r="273">
      <x:c r="A273" s="18"/>
      <x:c r="B273" s="18"/>
      <x:c r="C273" s="18"/>
      <x:c r="D273" s="18"/>
      <x:c r="E273" s="18"/>
      <x:c r="F273" s="18"/>
      <x:c r="G273" s="18"/>
    </x:row>
    <x:row r="274">
      <x:c r="A274" s="18"/>
      <x:c r="B274" s="18"/>
      <x:c r="C274" s="18"/>
      <x:c r="D274" s="18"/>
      <x:c r="E274" s="18"/>
      <x:c r="F274" s="18"/>
      <x:c r="G274" s="18"/>
    </x:row>
    <x:row r="275">
      <x:c r="A275" s="18"/>
      <x:c r="B275" s="18"/>
      <x:c r="C275" s="18"/>
      <x:c r="D275" s="18"/>
      <x:c r="E275" s="18"/>
      <x:c r="F275" s="18"/>
      <x:c r="G275" s="18"/>
    </x:row>
    <x:row r="276">
      <x:c r="A276" s="18"/>
      <x:c r="B276" s="18"/>
      <x:c r="C276" s="18"/>
      <x:c r="D276" s="18"/>
      <x:c r="E276" s="18"/>
      <x:c r="F276" s="18"/>
      <x:c r="G276" s="18"/>
    </x:row>
    <x:row r="277">
      <x:c r="A277" s="18"/>
      <x:c r="B277" s="18"/>
      <x:c r="C277" s="18"/>
      <x:c r="D277" s="18"/>
      <x:c r="E277" s="18"/>
      <x:c r="F277" s="18"/>
      <x:c r="G277" s="18"/>
    </x:row>
    <x:row r="278">
      <x:c r="A278" s="18"/>
      <x:c r="B278" s="18"/>
      <x:c r="C278" s="18"/>
      <x:c r="D278" s="18"/>
      <x:c r="E278" s="18"/>
      <x:c r="F278" s="18"/>
      <x:c r="G278" s="18"/>
    </x:row>
    <x:row r="279">
      <x:c r="A279" s="18"/>
      <x:c r="B279" s="18"/>
      <x:c r="C279" s="18"/>
      <x:c r="D279" s="18"/>
      <x:c r="E279" s="18"/>
      <x:c r="F279" s="18"/>
      <x:c r="G279" s="18"/>
    </x:row>
    <x:row r="280">
      <x:c r="A280" s="18"/>
      <x:c r="B280" s="18"/>
      <x:c r="C280" s="18"/>
      <x:c r="D280" s="18"/>
      <x:c r="E280" s="18"/>
      <x:c r="F280" s="18"/>
      <x:c r="G280" s="18"/>
    </x:row>
    <x:row r="281">
      <x:c r="A281" s="18"/>
      <x:c r="B281" s="18"/>
      <x:c r="C281" s="18"/>
      <x:c r="D281" s="18"/>
      <x:c r="E281" s="18"/>
      <x:c r="F281" s="18"/>
      <x:c r="G281" s="18"/>
    </x:row>
    <x:row r="282">
      <x:c r="A282" s="18"/>
      <x:c r="B282" s="18"/>
      <x:c r="C282" s="18"/>
      <x:c r="D282" s="18"/>
      <x:c r="E282" s="18"/>
      <x:c r="F282" s="18"/>
      <x:c r="G282" s="18"/>
    </x:row>
    <x:row r="283">
      <x:c r="A283" s="18"/>
      <x:c r="B283" s="18"/>
      <x:c r="C283" s="18"/>
      <x:c r="D283" s="18"/>
      <x:c r="E283" s="18"/>
      <x:c r="F283" s="18"/>
      <x:c r="G283" s="18"/>
    </x:row>
    <x:row r="284">
      <x:c r="A284" s="18"/>
      <x:c r="B284" s="18"/>
      <x:c r="C284" s="18"/>
      <x:c r="D284" s="18"/>
      <x:c r="E284" s="18"/>
      <x:c r="F284" s="18"/>
      <x:c r="G284" s="18"/>
    </x:row>
    <x:row r="285">
      <x:c r="A285" s="18"/>
      <x:c r="B285" s="18"/>
      <x:c r="C285" s="18"/>
      <x:c r="D285" s="18"/>
      <x:c r="E285" s="18"/>
      <x:c r="F285" s="18"/>
      <x:c r="G285" s="18"/>
    </x:row>
    <x:row r="286">
      <x:c r="A286" s="18"/>
      <x:c r="B286" s="18"/>
      <x:c r="C286" s="18"/>
      <x:c r="D286" s="18"/>
      <x:c r="E286" s="18"/>
      <x:c r="F286" s="18"/>
      <x:c r="G286" s="18"/>
    </x:row>
    <x:row r="287">
      <x:c r="A287" s="18"/>
      <x:c r="B287" s="18"/>
      <x:c r="C287" s="18"/>
      <x:c r="D287" s="18"/>
      <x:c r="E287" s="18"/>
      <x:c r="F287" s="18"/>
      <x:c r="G287" s="18"/>
    </x:row>
    <x:row r="288">
      <x:c r="A288" s="18"/>
      <x:c r="B288" s="18"/>
      <x:c r="C288" s="18"/>
      <x:c r="D288" s="18"/>
      <x:c r="E288" s="18"/>
      <x:c r="F288" s="18"/>
      <x:c r="G288" s="18"/>
    </x:row>
    <x:row r="289">
      <x:c r="A289" s="18"/>
      <x:c r="B289" s="18"/>
      <x:c r="C289" s="18"/>
      <x:c r="D289" s="18"/>
      <x:c r="E289" s="18"/>
      <x:c r="F289" s="18"/>
      <x:c r="G289" s="18"/>
    </x:row>
    <x:row r="290">
      <x:c r="A290" s="18"/>
      <x:c r="B290" s="18"/>
      <x:c r="C290" s="18"/>
      <x:c r="D290" s="18"/>
      <x:c r="E290" s="18"/>
      <x:c r="F290" s="18"/>
      <x:c r="G290" s="18"/>
    </x:row>
    <x:row r="291">
      <x:c r="A291" s="18"/>
      <x:c r="B291" s="18"/>
      <x:c r="C291" s="18"/>
      <x:c r="D291" s="18"/>
      <x:c r="E291" s="18"/>
      <x:c r="F291" s="18"/>
      <x:c r="G291" s="18"/>
    </x:row>
    <x:row r="292">
      <x:c r="A292" s="18"/>
      <x:c r="B292" s="18"/>
      <x:c r="C292" s="18"/>
      <x:c r="D292" s="18"/>
      <x:c r="E292" s="18"/>
      <x:c r="F292" s="18"/>
      <x:c r="G292" s="18"/>
    </x:row>
    <x:row r="293">
      <x:c r="A293" s="18"/>
      <x:c r="B293" s="18"/>
      <x:c r="C293" s="18"/>
      <x:c r="D293" s="18"/>
      <x:c r="E293" s="18"/>
      <x:c r="F293" s="18"/>
      <x:c r="G293" s="18"/>
    </x:row>
    <x:row r="294">
      <x:c r="A294" s="18"/>
      <x:c r="B294" s="18"/>
      <x:c r="C294" s="18"/>
      <x:c r="D294" s="18"/>
      <x:c r="E294" s="18"/>
      <x:c r="F294" s="18"/>
      <x:c r="G294" s="18"/>
    </x:row>
    <x:row r="295">
      <x:c r="A295" s="18"/>
      <x:c r="B295" s="18"/>
      <x:c r="C295" s="18"/>
      <x:c r="D295" s="18"/>
      <x:c r="E295" s="18"/>
      <x:c r="F295" s="18"/>
      <x:c r="G295" s="18"/>
    </x:row>
    <x:row r="296">
      <x:c r="A296" s="18"/>
      <x:c r="B296" s="18"/>
      <x:c r="C296" s="18"/>
      <x:c r="D296" s="18"/>
      <x:c r="E296" s="18"/>
      <x:c r="F296" s="18"/>
      <x:c r="G296" s="18"/>
    </x:row>
    <x:row r="297">
      <x:c r="A297" s="18"/>
      <x:c r="B297" s="18"/>
      <x:c r="C297" s="18"/>
      <x:c r="D297" s="18"/>
      <x:c r="E297" s="18"/>
      <x:c r="F297" s="18"/>
      <x:c r="G297" s="18"/>
    </x:row>
    <x:row r="298">
      <x:c r="A298" s="18"/>
      <x:c r="B298" s="18"/>
      <x:c r="C298" s="18"/>
      <x:c r="D298" s="18"/>
      <x:c r="E298" s="18"/>
      <x:c r="F298" s="18"/>
      <x:c r="G298" s="18"/>
    </x:row>
    <x:row r="299">
      <x:c r="A299" s="18"/>
      <x:c r="B299" s="18"/>
      <x:c r="C299" s="18"/>
      <x:c r="D299" s="18"/>
      <x:c r="E299" s="18"/>
      <x:c r="F299" s="18"/>
      <x:c r="G299" s="18"/>
    </x:row>
    <x:row r="300">
      <x:c r="A300" s="18"/>
      <x:c r="B300" s="18"/>
      <x:c r="C300" s="18"/>
      <x:c r="D300" s="18"/>
      <x:c r="E300" s="18"/>
      <x:c r="F300" s="18"/>
      <x:c r="G300" s="18"/>
    </x:row>
    <x:row r="301">
      <x:c r="A301" s="18"/>
      <x:c r="B301" s="18"/>
      <x:c r="C301" s="18"/>
      <x:c r="D301" s="18"/>
      <x:c r="E301" s="18"/>
      <x:c r="F301" s="18"/>
      <x:c r="G301" s="18"/>
    </x:row>
    <x:row r="302">
      <x:c r="A302" s="18"/>
      <x:c r="B302" s="18"/>
      <x:c r="C302" s="18"/>
      <x:c r="D302" s="18"/>
      <x:c r="E302" s="18"/>
      <x:c r="F302" s="18"/>
      <x:c r="G302" s="18"/>
    </x:row>
    <x:row r="303">
      <x:c r="A303" s="18"/>
      <x:c r="B303" s="18"/>
      <x:c r="C303" s="18"/>
      <x:c r="D303" s="18"/>
      <x:c r="E303" s="18"/>
      <x:c r="F303" s="18"/>
      <x:c r="G303" s="18"/>
    </x:row>
    <x:row r="304">
      <x:c r="A304" s="18"/>
      <x:c r="B304" s="18"/>
      <x:c r="C304" s="18"/>
      <x:c r="D304" s="18"/>
      <x:c r="E304" s="18"/>
      <x:c r="F304" s="18"/>
      <x:c r="G304" s="18"/>
    </x:row>
    <x:row r="305">
      <x:c r="A305" s="18"/>
      <x:c r="B305" s="18"/>
      <x:c r="C305" s="18"/>
      <x:c r="D305" s="18"/>
      <x:c r="E305" s="18"/>
      <x:c r="F305" s="18"/>
      <x:c r="G305" s="18"/>
    </x:row>
    <x:row r="306">
      <x:c r="A306" s="18"/>
      <x:c r="B306" s="18"/>
      <x:c r="C306" s="18"/>
      <x:c r="D306" s="18"/>
      <x:c r="E306" s="18"/>
      <x:c r="F306" s="18"/>
      <x:c r="G306" s="18"/>
    </x:row>
    <x:row r="307">
      <x:c r="A307" s="18"/>
      <x:c r="B307" s="18"/>
      <x:c r="C307" s="18"/>
      <x:c r="D307" s="18"/>
      <x:c r="E307" s="18"/>
      <x:c r="F307" s="18"/>
      <x:c r="G307" s="18"/>
    </x:row>
    <x:row r="308">
      <x:c r="A308" s="18"/>
      <x:c r="B308" s="18"/>
      <x:c r="C308" s="18"/>
      <x:c r="D308" s="18"/>
      <x:c r="E308" s="18"/>
      <x:c r="F308" s="18"/>
      <x:c r="G308" s="18"/>
    </x:row>
    <x:row r="309">
      <x:c r="A309" s="18"/>
      <x:c r="B309" s="18"/>
      <x:c r="C309" s="18"/>
      <x:c r="D309" s="18"/>
      <x:c r="E309" s="18"/>
      <x:c r="F309" s="18"/>
      <x:c r="G309" s="18"/>
    </x:row>
    <x:row r="310">
      <x:c r="A310" s="18"/>
      <x:c r="B310" s="18"/>
      <x:c r="C310" s="18"/>
      <x:c r="D310" s="18"/>
      <x:c r="E310" s="18"/>
      <x:c r="F310" s="18"/>
      <x:c r="G310" s="18"/>
    </x:row>
    <x:row r="311">
      <x:c r="A311" s="18"/>
      <x:c r="B311" s="18"/>
      <x:c r="C311" s="18"/>
      <x:c r="D311" s="18"/>
      <x:c r="E311" s="18"/>
      <x:c r="F311" s="18"/>
      <x:c r="G311" s="18"/>
    </x:row>
    <x:row r="312">
      <x:c r="A312" s="18"/>
      <x:c r="B312" s="18"/>
      <x:c r="C312" s="18"/>
      <x:c r="D312" s="18"/>
      <x:c r="E312" s="18"/>
      <x:c r="F312" s="18"/>
      <x:c r="G312" s="18"/>
    </x:row>
    <x:row r="313">
      <x:c r="A313" s="18"/>
      <x:c r="B313" s="18"/>
      <x:c r="C313" s="18"/>
      <x:c r="D313" s="18"/>
      <x:c r="E313" s="18"/>
      <x:c r="F313" s="18"/>
      <x:c r="G313" s="18"/>
    </x:row>
    <x:row r="314">
      <x:c r="A314" s="18"/>
      <x:c r="B314" s="18"/>
      <x:c r="C314" s="18"/>
      <x:c r="D314" s="18"/>
      <x:c r="E314" s="18"/>
      <x:c r="F314" s="18"/>
      <x:c r="G314" s="18"/>
    </x:row>
    <x:row r="315">
      <x:c r="A315" s="18"/>
      <x:c r="B315" s="18"/>
      <x:c r="C315" s="18"/>
      <x:c r="D315" s="18"/>
      <x:c r="E315" s="18"/>
      <x:c r="F315" s="18"/>
      <x:c r="G315" s="18"/>
    </x:row>
    <x:row r="316">
      <x:c r="A316" s="18"/>
      <x:c r="B316" s="18"/>
      <x:c r="C316" s="18"/>
      <x:c r="D316" s="18"/>
      <x:c r="E316" s="18"/>
      <x:c r="F316" s="18"/>
      <x:c r="G316" s="18"/>
    </x:row>
    <x:row r="317">
      <x:c r="A317" s="18"/>
      <x:c r="B317" s="18"/>
      <x:c r="C317" s="18"/>
      <x:c r="D317" s="18"/>
      <x:c r="E317" s="18"/>
      <x:c r="F317" s="18"/>
      <x:c r="G317" s="18"/>
    </x:row>
    <x:row r="318">
      <x:c r="A318" s="18"/>
      <x:c r="B318" s="18"/>
      <x:c r="C318" s="18"/>
      <x:c r="D318" s="18"/>
      <x:c r="E318" s="18"/>
      <x:c r="F318" s="18"/>
      <x:c r="G318" s="18"/>
    </x:row>
    <x:row r="319">
      <x:c r="A319" s="18"/>
      <x:c r="B319" s="18"/>
      <x:c r="C319" s="18"/>
      <x:c r="D319" s="18"/>
      <x:c r="E319" s="18"/>
      <x:c r="F319" s="18"/>
      <x:c r="G319" s="18"/>
    </x:row>
    <x:row r="320">
      <x:c r="A320" s="18"/>
      <x:c r="B320" s="18"/>
      <x:c r="C320" s="18"/>
      <x:c r="D320" s="18"/>
      <x:c r="E320" s="18"/>
      <x:c r="F320" s="18"/>
      <x:c r="G320" s="18"/>
    </x:row>
    <x:row r="321">
      <x:c r="A321" s="18"/>
      <x:c r="B321" s="18"/>
      <x:c r="C321" s="18"/>
      <x:c r="D321" s="18"/>
      <x:c r="E321" s="18"/>
      <x:c r="F321" s="18"/>
      <x:c r="G321" s="18"/>
    </x:row>
    <x:row r="322">
      <x:c r="A322" s="18"/>
      <x:c r="B322" s="18"/>
      <x:c r="C322" s="18"/>
      <x:c r="D322" s="18"/>
      <x:c r="E322" s="18"/>
      <x:c r="F322" s="18"/>
      <x:c r="G322" s="18"/>
    </x:row>
    <x:row r="323">
      <x:c r="A323" s="18"/>
      <x:c r="B323" s="18"/>
      <x:c r="C323" s="18"/>
      <x:c r="D323" s="18"/>
      <x:c r="E323" s="18"/>
      <x:c r="F323" s="18"/>
      <x:c r="G323" s="18"/>
    </x:row>
    <x:row r="324">
      <x:c r="A324" s="18"/>
      <x:c r="B324" s="18"/>
      <x:c r="C324" s="18"/>
      <x:c r="D324" s="18"/>
      <x:c r="E324" s="18"/>
      <x:c r="F324" s="18"/>
      <x:c r="G324" s="18"/>
    </x:row>
    <x:row r="325">
      <x:c r="A325" s="18"/>
      <x:c r="B325" s="18"/>
      <x:c r="C325" s="18"/>
      <x:c r="D325" s="18"/>
      <x:c r="E325" s="18"/>
      <x:c r="F325" s="18"/>
      <x:c r="G325" s="18"/>
    </x:row>
    <x:row r="326">
      <x:c r="A326" s="18"/>
      <x:c r="B326" s="18"/>
      <x:c r="C326" s="18"/>
      <x:c r="D326" s="18"/>
      <x:c r="E326" s="18"/>
      <x:c r="F326" s="18"/>
      <x:c r="G326" s="18"/>
    </x:row>
    <x:row r="327">
      <x:c r="A327" s="18"/>
      <x:c r="B327" s="18"/>
      <x:c r="C327" s="18"/>
      <x:c r="D327" s="18"/>
      <x:c r="E327" s="18"/>
      <x:c r="F327" s="18"/>
      <x:c r="G327" s="18"/>
    </x:row>
    <x:row r="328">
      <x:c r="A328" s="18"/>
      <x:c r="B328" s="18"/>
      <x:c r="C328" s="18"/>
      <x:c r="D328" s="18"/>
      <x:c r="E328" s="18"/>
      <x:c r="F328" s="18"/>
      <x:c r="G328" s="18"/>
    </x:row>
    <x:row r="329">
      <x:c r="A329" s="18"/>
      <x:c r="B329" s="18"/>
      <x:c r="C329" s="18"/>
      <x:c r="D329" s="18"/>
      <x:c r="E329" s="18"/>
      <x:c r="F329" s="18"/>
      <x:c r="G329" s="18"/>
    </x:row>
    <x:row r="330">
      <x:c r="A330" s="18"/>
      <x:c r="B330" s="18"/>
      <x:c r="C330" s="18"/>
      <x:c r="D330" s="18"/>
      <x:c r="E330" s="18"/>
      <x:c r="F330" s="18"/>
      <x:c r="G330" s="18"/>
    </x:row>
    <x:row r="331">
      <x:c r="A331" s="18"/>
      <x:c r="B331" s="18"/>
      <x:c r="C331" s="18"/>
      <x:c r="D331" s="18"/>
      <x:c r="E331" s="18"/>
      <x:c r="F331" s="18"/>
      <x:c r="G331" s="18"/>
    </x:row>
    <x:row r="332">
      <x:c r="A332" s="18"/>
      <x:c r="B332" s="18"/>
      <x:c r="C332" s="18"/>
      <x:c r="D332" s="18"/>
      <x:c r="E332" s="18"/>
      <x:c r="F332" s="18"/>
      <x:c r="G332" s="18"/>
    </x:row>
    <x:row r="333">
      <x:c r="A333" s="18"/>
      <x:c r="B333" s="18"/>
      <x:c r="C333" s="18"/>
      <x:c r="D333" s="18"/>
      <x:c r="E333" s="18"/>
      <x:c r="F333" s="18"/>
      <x:c r="G333" s="18"/>
    </x:row>
    <x:row r="334">
      <x:c r="A334" s="18"/>
      <x:c r="B334" s="18"/>
      <x:c r="C334" s="18"/>
      <x:c r="D334" s="18"/>
      <x:c r="E334" s="18"/>
      <x:c r="F334" s="18"/>
      <x:c r="G334" s="18"/>
    </x:row>
    <x:row r="335">
      <x:c r="A335" s="18"/>
      <x:c r="B335" s="18"/>
      <x:c r="C335" s="18"/>
      <x:c r="D335" s="18"/>
      <x:c r="E335" s="18"/>
      <x:c r="F335" s="18"/>
      <x:c r="G335" s="18"/>
    </x:row>
    <x:row r="336">
      <x:c r="A336" s="18"/>
      <x:c r="B336" s="18"/>
      <x:c r="C336" s="18"/>
      <x:c r="D336" s="18"/>
      <x:c r="E336" s="18"/>
      <x:c r="F336" s="18"/>
      <x:c r="G336" s="18"/>
    </x:row>
    <x:row r="337">
      <x:c r="A337" s="18"/>
      <x:c r="B337" s="18"/>
      <x:c r="C337" s="18"/>
      <x:c r="D337" s="18"/>
      <x:c r="E337" s="18"/>
      <x:c r="F337" s="18"/>
      <x:c r="G337" s="18"/>
    </x:row>
    <x:row r="338">
      <x:c r="A338" s="18"/>
      <x:c r="B338" s="18"/>
      <x:c r="C338" s="18"/>
      <x:c r="D338" s="18"/>
      <x:c r="E338" s="18"/>
      <x:c r="F338" s="18"/>
      <x:c r="G338" s="18"/>
    </x:row>
    <x:row r="339">
      <x:c r="A339" s="18"/>
      <x:c r="B339" s="18"/>
      <x:c r="C339" s="18"/>
      <x:c r="D339" s="18"/>
      <x:c r="E339" s="18"/>
      <x:c r="F339" s="18"/>
      <x:c r="G339" s="18"/>
    </x:row>
    <x:row r="340">
      <x:c r="A340" s="18"/>
      <x:c r="B340" s="18"/>
      <x:c r="C340" s="18"/>
      <x:c r="D340" s="18"/>
      <x:c r="E340" s="18"/>
      <x:c r="F340" s="18"/>
      <x:c r="G340" s="18"/>
    </x:row>
    <x:row r="341">
      <x:c r="A341" s="18"/>
      <x:c r="B341" s="18"/>
      <x:c r="C341" s="18"/>
      <x:c r="D341" s="18"/>
      <x:c r="E341" s="18"/>
      <x:c r="F341" s="18"/>
      <x:c r="G341" s="18"/>
    </x:row>
    <x:row r="342">
      <x:c r="A342" s="18"/>
      <x:c r="B342" s="18"/>
      <x:c r="C342" s="18"/>
      <x:c r="D342" s="18"/>
      <x:c r="E342" s="18"/>
      <x:c r="F342" s="18"/>
      <x:c r="G342" s="18"/>
    </x:row>
    <x:row r="343">
      <x:c r="A343" s="18"/>
      <x:c r="B343" s="18"/>
      <x:c r="C343" s="18"/>
      <x:c r="D343" s="18"/>
      <x:c r="E343" s="18"/>
      <x:c r="F343" s="18"/>
      <x:c r="G343" s="18"/>
    </x:row>
    <x:row r="344">
      <x:c r="A344" s="18"/>
      <x:c r="B344" s="18"/>
      <x:c r="C344" s="18"/>
      <x:c r="D344" s="18"/>
      <x:c r="E344" s="18"/>
      <x:c r="F344" s="18"/>
      <x:c r="G344" s="18"/>
    </x:row>
    <x:row r="345">
      <x:c r="A345" s="18"/>
      <x:c r="B345" s="18"/>
      <x:c r="C345" s="18"/>
      <x:c r="D345" s="18"/>
      <x:c r="E345" s="18"/>
      <x:c r="F345" s="18"/>
      <x:c r="G345" s="18"/>
    </x:row>
    <x:row r="346">
      <x:c r="A346" s="18"/>
      <x:c r="B346" s="18"/>
      <x:c r="C346" s="18"/>
      <x:c r="D346" s="18"/>
      <x:c r="E346" s="18"/>
      <x:c r="F346" s="18"/>
      <x:c r="G346" s="18"/>
    </x:row>
    <x:row r="347">
      <x:c r="A347" s="18"/>
      <x:c r="B347" s="18"/>
      <x:c r="C347" s="18"/>
      <x:c r="D347" s="18"/>
      <x:c r="E347" s="18"/>
      <x:c r="F347" s="18"/>
      <x:c r="G347" s="18"/>
    </x:row>
    <x:row r="348">
      <x:c r="A348" s="18"/>
      <x:c r="B348" s="18"/>
      <x:c r="C348" s="18"/>
      <x:c r="D348" s="18"/>
      <x:c r="E348" s="18"/>
      <x:c r="F348" s="18"/>
      <x:c r="G348" s="18"/>
    </x:row>
    <x:row r="349">
      <x:c r="A349" s="18"/>
      <x:c r="B349" s="18"/>
      <x:c r="C349" s="18"/>
      <x:c r="D349" s="18"/>
      <x:c r="E349" s="18"/>
      <x:c r="F349" s="18"/>
      <x:c r="G349" s="18"/>
    </x:row>
    <x:row r="350">
      <x:c r="A350" s="18"/>
      <x:c r="B350" s="18"/>
      <x:c r="C350" s="18"/>
      <x:c r="D350" s="18"/>
      <x:c r="E350" s="18"/>
      <x:c r="F350" s="18"/>
      <x:c r="G350" s="18"/>
    </x:row>
    <x:row r="351">
      <x:c r="A351" s="18"/>
      <x:c r="B351" s="18"/>
      <x:c r="C351" s="18"/>
      <x:c r="D351" s="18"/>
      <x:c r="E351" s="18"/>
      <x:c r="F351" s="18"/>
      <x:c r="G351" s="18"/>
    </x:row>
    <x:row r="352">
      <x:c r="A352" s="18"/>
      <x:c r="B352" s="18"/>
      <x:c r="C352" s="18"/>
      <x:c r="D352" s="18"/>
      <x:c r="E352" s="18"/>
      <x:c r="F352" s="18"/>
      <x:c r="G352" s="18"/>
    </x:row>
    <x:row r="353">
      <x:c r="A353" s="18"/>
      <x:c r="B353" s="18"/>
      <x:c r="C353" s="18"/>
      <x:c r="D353" s="18"/>
      <x:c r="E353" s="18"/>
      <x:c r="F353" s="18"/>
      <x:c r="G353" s="18"/>
    </x:row>
    <x:row r="354">
      <x:c r="A354" s="18"/>
      <x:c r="B354" s="18"/>
      <x:c r="C354" s="18"/>
      <x:c r="D354" s="18"/>
      <x:c r="E354" s="18"/>
      <x:c r="F354" s="18"/>
      <x:c r="G354" s="18"/>
    </x:row>
    <x:row r="355">
      <x:c r="A355" s="18"/>
      <x:c r="B355" s="18"/>
      <x:c r="C355" s="18"/>
      <x:c r="D355" s="18"/>
      <x:c r="E355" s="18"/>
      <x:c r="F355" s="18"/>
      <x:c r="G355" s="18"/>
    </x:row>
    <x:row r="356">
      <x:c r="A356" s="18"/>
      <x:c r="B356" s="18"/>
      <x:c r="C356" s="18"/>
      <x:c r="D356" s="18"/>
      <x:c r="E356" s="18"/>
      <x:c r="F356" s="18"/>
      <x:c r="G356" s="18"/>
    </x:row>
    <x:row r="357">
      <x:c r="A357" s="18"/>
      <x:c r="B357" s="18"/>
      <x:c r="C357" s="18"/>
      <x:c r="D357" s="18"/>
      <x:c r="E357" s="18"/>
      <x:c r="F357" s="18"/>
      <x:c r="G357" s="18"/>
    </x:row>
    <x:row r="358">
      <x:c r="A358" s="18"/>
      <x:c r="B358" s="18"/>
      <x:c r="C358" s="18"/>
      <x:c r="D358" s="18"/>
      <x:c r="E358" s="18"/>
      <x:c r="F358" s="18"/>
      <x:c r="G358" s="18"/>
    </x:row>
    <x:row r="359">
      <x:c r="A359" s="18"/>
      <x:c r="B359" s="18"/>
      <x:c r="C359" s="18"/>
      <x:c r="D359" s="18"/>
      <x:c r="E359" s="18"/>
      <x:c r="F359" s="18"/>
      <x:c r="G359" s="18"/>
    </x:row>
    <x:row r="360">
      <x:c r="A360" s="18"/>
      <x:c r="B360" s="18"/>
      <x:c r="C360" s="18"/>
      <x:c r="D360" s="18"/>
      <x:c r="E360" s="18"/>
      <x:c r="F360" s="18"/>
      <x:c r="G360" s="18"/>
    </x:row>
    <x:row r="361">
      <x:c r="A361" s="18"/>
      <x:c r="B361" s="18"/>
      <x:c r="C361" s="18"/>
      <x:c r="D361" s="18"/>
      <x:c r="E361" s="18"/>
      <x:c r="F361" s="18"/>
      <x:c r="G361" s="18"/>
    </x:row>
    <x:row r="362">
      <x:c r="A362" s="18"/>
      <x:c r="B362" s="18"/>
      <x:c r="C362" s="18"/>
      <x:c r="D362" s="18"/>
      <x:c r="E362" s="18"/>
      <x:c r="F362" s="18"/>
      <x:c r="G362" s="18"/>
    </x:row>
    <x:row r="363">
      <x:c r="A363" s="18"/>
      <x:c r="B363" s="18"/>
      <x:c r="C363" s="18"/>
      <x:c r="D363" s="18"/>
      <x:c r="E363" s="18"/>
      <x:c r="F363" s="18"/>
      <x:c r="G363" s="18"/>
    </x:row>
    <x:row r="364">
      <x:c r="A364" s="18"/>
      <x:c r="B364" s="18"/>
      <x:c r="C364" s="18"/>
      <x:c r="D364" s="18"/>
      <x:c r="E364" s="18"/>
      <x:c r="F364" s="18"/>
      <x:c r="G364" s="18"/>
    </x:row>
    <x:row r="365">
      <x:c r="A365" s="18"/>
      <x:c r="B365" s="18"/>
      <x:c r="C365" s="18"/>
      <x:c r="D365" s="18"/>
      <x:c r="E365" s="18"/>
      <x:c r="F365" s="18"/>
      <x:c r="G365" s="18"/>
    </x:row>
    <x:row r="366">
      <x:c r="A366" s="18"/>
      <x:c r="B366" s="18"/>
      <x:c r="C366" s="18"/>
      <x:c r="D366" s="18"/>
      <x:c r="E366" s="18"/>
      <x:c r="F366" s="18"/>
      <x:c r="G366" s="18"/>
    </x:row>
    <x:row r="367">
      <x:c r="A367" s="18"/>
      <x:c r="B367" s="18"/>
      <x:c r="C367" s="18"/>
      <x:c r="D367" s="18"/>
      <x:c r="E367" s="18"/>
      <x:c r="F367" s="18"/>
      <x:c r="G367" s="18"/>
    </x:row>
    <x:row r="368">
      <x:c r="A368" s="18"/>
      <x:c r="B368" s="18"/>
      <x:c r="C368" s="18"/>
      <x:c r="D368" s="18"/>
      <x:c r="E368" s="18"/>
      <x:c r="F368" s="18"/>
      <x:c r="G368" s="18"/>
    </x:row>
    <x:row r="369">
      <x:c r="A369" s="18"/>
      <x:c r="B369" s="18"/>
      <x:c r="C369" s="18"/>
      <x:c r="D369" s="18"/>
      <x:c r="E369" s="18"/>
      <x:c r="F369" s="18"/>
      <x:c r="G369" s="18"/>
    </x:row>
    <x:row r="370">
      <x:c r="A370" s="18"/>
      <x:c r="B370" s="18"/>
      <x:c r="C370" s="18"/>
      <x:c r="D370" s="18"/>
      <x:c r="E370" s="18"/>
      <x:c r="F370" s="18"/>
      <x:c r="G370" s="18"/>
    </x:row>
    <x:row r="371">
      <x:c r="A371" s="18"/>
      <x:c r="B371" s="18"/>
      <x:c r="C371" s="18"/>
      <x:c r="D371" s="18"/>
      <x:c r="E371" s="18"/>
      <x:c r="F371" s="18"/>
      <x:c r="G371" s="18"/>
    </x:row>
    <x:row r="372">
      <x:c r="A372" s="18"/>
      <x:c r="B372" s="18"/>
      <x:c r="C372" s="18"/>
      <x:c r="D372" s="18"/>
      <x:c r="E372" s="18"/>
      <x:c r="F372" s="18"/>
      <x:c r="G372" s="18"/>
    </x:row>
    <x:row r="373">
      <x:c r="A373" s="18"/>
      <x:c r="B373" s="18"/>
      <x:c r="C373" s="18"/>
      <x:c r="D373" s="18"/>
      <x:c r="E373" s="18"/>
      <x:c r="F373" s="18"/>
      <x:c r="G373" s="18"/>
    </x:row>
    <x:row r="374">
      <x:c r="A374" s="18"/>
      <x:c r="B374" s="18"/>
      <x:c r="C374" s="18"/>
      <x:c r="D374" s="18"/>
      <x:c r="E374" s="18"/>
      <x:c r="F374" s="18"/>
      <x:c r="G374" s="18"/>
    </x:row>
    <x:row r="375">
      <x:c r="A375" s="18"/>
      <x:c r="B375" s="18"/>
      <x:c r="C375" s="18"/>
      <x:c r="D375" s="18"/>
      <x:c r="E375" s="18"/>
      <x:c r="F375" s="18"/>
      <x:c r="G375" s="18"/>
    </x:row>
    <x:row r="376">
      <x:c r="A376" s="18"/>
      <x:c r="B376" s="18"/>
      <x:c r="C376" s="18"/>
      <x:c r="D376" s="18"/>
      <x:c r="E376" s="18"/>
      <x:c r="F376" s="18"/>
      <x:c r="G376" s="18"/>
    </x:row>
    <x:row r="377">
      <x:c r="A377" s="18"/>
      <x:c r="B377" s="18"/>
      <x:c r="C377" s="18"/>
      <x:c r="D377" s="18"/>
      <x:c r="E377" s="18"/>
      <x:c r="F377" s="18"/>
      <x:c r="G377" s="18"/>
    </x:row>
    <x:row r="378">
      <x:c r="A378" s="18"/>
      <x:c r="B378" s="18"/>
      <x:c r="C378" s="18"/>
      <x:c r="D378" s="18"/>
      <x:c r="E378" s="18"/>
      <x:c r="F378" s="18"/>
      <x:c r="G378" s="18"/>
    </x:row>
    <x:row r="379">
      <x:c r="A379" s="18"/>
      <x:c r="B379" s="18"/>
      <x:c r="C379" s="18"/>
      <x:c r="D379" s="18"/>
      <x:c r="E379" s="18"/>
      <x:c r="F379" s="18"/>
      <x:c r="G379" s="18"/>
    </x:row>
    <x:row r="380">
      <x:c r="A380" s="18"/>
      <x:c r="B380" s="18"/>
      <x:c r="C380" s="18"/>
      <x:c r="D380" s="18"/>
      <x:c r="E380" s="18"/>
      <x:c r="F380" s="18"/>
      <x:c r="G380" s="18"/>
    </x:row>
    <x:row r="381">
      <x:c r="A381" s="18"/>
      <x:c r="B381" s="18"/>
      <x:c r="C381" s="18"/>
      <x:c r="D381" s="18"/>
      <x:c r="E381" s="18"/>
      <x:c r="F381" s="18"/>
      <x:c r="G381" s="18"/>
    </x:row>
    <x:row r="382">
      <x:c r="A382" s="18"/>
      <x:c r="B382" s="18"/>
      <x:c r="C382" s="18"/>
      <x:c r="D382" s="18"/>
      <x:c r="E382" s="18"/>
      <x:c r="F382" s="18"/>
      <x:c r="G382" s="18"/>
    </x:row>
    <x:row r="383">
      <x:c r="A383" s="18"/>
      <x:c r="B383" s="18"/>
      <x:c r="C383" s="18"/>
      <x:c r="D383" s="18"/>
      <x:c r="E383" s="18"/>
      <x:c r="F383" s="18"/>
      <x:c r="G383" s="18"/>
    </x:row>
    <x:row r="384">
      <x:c r="A384" s="18"/>
      <x:c r="B384" s="18"/>
      <x:c r="C384" s="18"/>
      <x:c r="D384" s="18"/>
      <x:c r="E384" s="18"/>
      <x:c r="F384" s="18"/>
      <x:c r="G384" s="18"/>
    </x:row>
    <x:row r="385">
      <x:c r="A385" s="18"/>
      <x:c r="B385" s="18"/>
      <x:c r="C385" s="18"/>
      <x:c r="D385" s="18"/>
      <x:c r="E385" s="18"/>
      <x:c r="F385" s="18"/>
      <x:c r="G385" s="18"/>
    </x:row>
    <x:row r="386">
      <x:c r="A386" s="18"/>
      <x:c r="B386" s="18"/>
      <x:c r="C386" s="18"/>
      <x:c r="D386" s="18"/>
      <x:c r="E386" s="18"/>
      <x:c r="F386" s="18"/>
      <x:c r="G386" s="18"/>
    </x:row>
    <x:row r="387">
      <x:c r="A387" s="18"/>
      <x:c r="B387" s="18"/>
      <x:c r="C387" s="18"/>
      <x:c r="D387" s="18"/>
      <x:c r="E387" s="18"/>
      <x:c r="F387" s="18"/>
      <x:c r="G387" s="18"/>
    </x:row>
    <x:row r="388">
      <x:c r="A388" s="18"/>
      <x:c r="B388" s="18"/>
      <x:c r="C388" s="18"/>
      <x:c r="D388" s="18"/>
      <x:c r="E388" s="18"/>
      <x:c r="F388" s="18"/>
      <x:c r="G388" s="18"/>
    </x:row>
    <x:row r="389">
      <x:c r="A389" s="18"/>
      <x:c r="B389" s="18"/>
      <x:c r="C389" s="18"/>
      <x:c r="D389" s="18"/>
      <x:c r="E389" s="18"/>
      <x:c r="F389" s="18"/>
      <x:c r="G389" s="18"/>
    </x:row>
    <x:row r="390">
      <x:c r="A390" s="18"/>
      <x:c r="B390" s="18"/>
      <x:c r="C390" s="18"/>
      <x:c r="D390" s="18"/>
      <x:c r="E390" s="18"/>
      <x:c r="F390" s="18"/>
      <x:c r="G390" s="18"/>
    </x:row>
    <x:row r="391">
      <x:c r="A391" s="18"/>
      <x:c r="B391" s="18"/>
      <x:c r="C391" s="18"/>
      <x:c r="D391" s="18"/>
      <x:c r="E391" s="18"/>
      <x:c r="F391" s="18"/>
      <x:c r="G391" s="18"/>
    </x:row>
    <x:row r="392">
      <x:c r="A392" s="18"/>
      <x:c r="B392" s="18"/>
      <x:c r="C392" s="18"/>
      <x:c r="D392" s="18"/>
      <x:c r="E392" s="18"/>
      <x:c r="F392" s="18"/>
      <x:c r="G392" s="18"/>
    </x:row>
    <x:row r="393">
      <x:c r="A393" s="18"/>
      <x:c r="B393" s="18"/>
      <x:c r="C393" s="18"/>
      <x:c r="D393" s="18"/>
      <x:c r="E393" s="18"/>
      <x:c r="F393" s="18"/>
      <x:c r="G393" s="18"/>
    </x:row>
    <x:row r="394">
      <x:c r="A394" s="18"/>
      <x:c r="B394" s="18"/>
      <x:c r="C394" s="18"/>
      <x:c r="D394" s="18"/>
      <x:c r="E394" s="18"/>
      <x:c r="F394" s="18"/>
      <x:c r="G394" s="18"/>
    </x:row>
    <x:row r="395">
      <x:c r="A395" s="18"/>
      <x:c r="B395" s="18"/>
      <x:c r="C395" s="18"/>
      <x:c r="D395" s="18"/>
      <x:c r="E395" s="18"/>
      <x:c r="F395" s="18"/>
      <x:c r="G395" s="18"/>
    </x:row>
    <x:row r="396">
      <x:c r="A396" s="18"/>
      <x:c r="B396" s="18"/>
      <x:c r="C396" s="18"/>
      <x:c r="D396" s="18"/>
      <x:c r="E396" s="18"/>
      <x:c r="F396" s="18"/>
      <x:c r="G396" s="18"/>
    </x:row>
    <x:row r="397">
      <x:c r="A397" s="18"/>
      <x:c r="B397" s="18"/>
      <x:c r="C397" s="18"/>
      <x:c r="D397" s="18"/>
      <x:c r="E397" s="18"/>
      <x:c r="F397" s="18"/>
      <x:c r="G397" s="18"/>
    </x:row>
    <x:row r="398">
      <x:c r="A398" s="18"/>
      <x:c r="B398" s="18"/>
      <x:c r="C398" s="18"/>
      <x:c r="D398" s="18"/>
      <x:c r="E398" s="18"/>
      <x:c r="F398" s="18"/>
      <x:c r="G398" s="18"/>
    </x:row>
    <x:row r="399">
      <x:c r="A399" s="18"/>
      <x:c r="B399" s="18"/>
      <x:c r="C399" s="18"/>
      <x:c r="D399" s="18"/>
      <x:c r="E399" s="18"/>
      <x:c r="F399" s="18"/>
      <x:c r="G399" s="18"/>
    </x:row>
    <x:row r="400">
      <x:c r="A400" s="18"/>
      <x:c r="B400" s="18"/>
      <x:c r="C400" s="18"/>
      <x:c r="D400" s="18"/>
      <x:c r="E400" s="18"/>
      <x:c r="F400" s="18"/>
      <x:c r="G400" s="18"/>
    </x:row>
    <x:row r="401">
      <x:c r="A401" s="18"/>
      <x:c r="B401" s="18"/>
      <x:c r="C401" s="18"/>
      <x:c r="D401" s="18"/>
      <x:c r="E401" s="18"/>
      <x:c r="F401" s="18"/>
      <x:c r="G401" s="18"/>
    </x:row>
    <x:row r="402">
      <x:c r="A402" s="18"/>
      <x:c r="B402" s="18"/>
      <x:c r="C402" s="18"/>
      <x:c r="D402" s="18"/>
      <x:c r="E402" s="18"/>
      <x:c r="F402" s="18"/>
      <x:c r="G402" s="18"/>
    </x:row>
    <x:row r="403">
      <x:c r="A403" s="18"/>
      <x:c r="B403" s="18"/>
      <x:c r="C403" s="18"/>
      <x:c r="D403" s="18"/>
      <x:c r="E403" s="18"/>
      <x:c r="F403" s="18"/>
      <x:c r="G403" s="18"/>
    </x:row>
    <x:row r="404">
      <x:c r="A404" s="18"/>
      <x:c r="B404" s="18"/>
      <x:c r="C404" s="18"/>
      <x:c r="D404" s="18"/>
      <x:c r="E404" s="18"/>
      <x:c r="F404" s="18"/>
      <x:c r="G404" s="18"/>
    </x:row>
    <x:row r="405">
      <x:c r="A405" s="18"/>
      <x:c r="B405" s="18"/>
      <x:c r="C405" s="18"/>
      <x:c r="D405" s="18"/>
      <x:c r="E405" s="18"/>
      <x:c r="F405" s="18"/>
      <x:c r="G405" s="18"/>
    </x:row>
    <x:row r="406">
      <x:c r="A406" s="18"/>
      <x:c r="B406" s="18"/>
      <x:c r="C406" s="18"/>
      <x:c r="D406" s="18"/>
      <x:c r="E406" s="18"/>
      <x:c r="F406" s="18"/>
      <x:c r="G406" s="18"/>
    </x:row>
    <x:row r="407">
      <x:c r="A407" s="18"/>
      <x:c r="B407" s="18"/>
      <x:c r="C407" s="18"/>
      <x:c r="D407" s="18"/>
      <x:c r="E407" s="18"/>
      <x:c r="F407" s="18"/>
      <x:c r="G407" s="18"/>
    </x:row>
    <x:row r="408">
      <x:c r="A408" s="18"/>
      <x:c r="B408" s="18"/>
      <x:c r="C408" s="18"/>
      <x:c r="D408" s="18"/>
      <x:c r="E408" s="18"/>
      <x:c r="F408" s="18"/>
      <x:c r="G408" s="18"/>
    </x:row>
    <x:row r="409">
      <x:c r="A409" s="18"/>
      <x:c r="B409" s="18"/>
      <x:c r="C409" s="18"/>
      <x:c r="D409" s="18"/>
      <x:c r="E409" s="18"/>
      <x:c r="F409" s="18"/>
      <x:c r="G409" s="18"/>
    </x:row>
    <x:row r="410">
      <x:c r="A410" s="18"/>
      <x:c r="B410" s="18"/>
      <x:c r="C410" s="18"/>
      <x:c r="D410" s="18"/>
      <x:c r="E410" s="18"/>
      <x:c r="F410" s="18"/>
      <x:c r="G410" s="18"/>
    </x:row>
    <x:row r="411">
      <x:c r="A411" s="18"/>
      <x:c r="B411" s="18"/>
      <x:c r="C411" s="18"/>
      <x:c r="D411" s="18"/>
      <x:c r="E411" s="18"/>
      <x:c r="F411" s="18"/>
      <x:c r="G411" s="18"/>
    </x:row>
    <x:row r="412">
      <x:c r="A412" s="18"/>
      <x:c r="B412" s="18"/>
      <x:c r="C412" s="18"/>
      <x:c r="D412" s="18"/>
      <x:c r="E412" s="18"/>
      <x:c r="F412" s="18"/>
      <x:c r="G412" s="18"/>
    </x:row>
    <x:row r="413">
      <x:c r="A413" s="18"/>
      <x:c r="B413" s="18"/>
      <x:c r="C413" s="18"/>
      <x:c r="D413" s="18"/>
      <x:c r="E413" s="18"/>
      <x:c r="F413" s="18"/>
      <x:c r="G413" s="18"/>
    </x:row>
    <x:row r="414">
      <x:c r="A414" s="18"/>
      <x:c r="B414" s="18"/>
      <x:c r="C414" s="18"/>
      <x:c r="D414" s="18"/>
      <x:c r="E414" s="18"/>
      <x:c r="F414" s="18"/>
      <x:c r="G414" s="18"/>
    </x:row>
    <x:row r="415">
      <x:c r="A415" s="18"/>
      <x:c r="B415" s="18"/>
      <x:c r="C415" s="18"/>
      <x:c r="D415" s="18"/>
      <x:c r="E415" s="18"/>
      <x:c r="F415" s="18"/>
      <x:c r="G415" s="18"/>
    </x:row>
    <x:row r="416">
      <x:c r="A416" s="18"/>
      <x:c r="B416" s="18"/>
      <x:c r="C416" s="18"/>
      <x:c r="D416" s="18"/>
      <x:c r="E416" s="18"/>
      <x:c r="F416" s="18"/>
      <x:c r="G416" s="18"/>
    </x:row>
    <x:row r="417">
      <x:c r="A417" s="18"/>
      <x:c r="B417" s="18"/>
      <x:c r="C417" s="18"/>
      <x:c r="D417" s="18"/>
      <x:c r="E417" s="18"/>
      <x:c r="F417" s="18"/>
      <x:c r="G417" s="18"/>
    </x:row>
    <x:row r="418">
      <x:c r="A418" s="18"/>
      <x:c r="B418" s="18"/>
      <x:c r="C418" s="18"/>
      <x:c r="D418" s="18"/>
      <x:c r="E418" s="18"/>
      <x:c r="F418" s="18"/>
      <x:c r="G418" s="18"/>
    </x:row>
    <x:row r="419">
      <x:c r="A419" s="18"/>
      <x:c r="B419" s="18"/>
      <x:c r="C419" s="18"/>
      <x:c r="D419" s="18"/>
      <x:c r="E419" s="18"/>
      <x:c r="F419" s="18"/>
      <x:c r="G419" s="18"/>
    </x:row>
    <x:row r="420">
      <x:c r="A420" s="18"/>
      <x:c r="B420" s="18"/>
      <x:c r="C420" s="18"/>
      <x:c r="D420" s="18"/>
      <x:c r="E420" s="18"/>
      <x:c r="F420" s="18"/>
      <x:c r="G420" s="18"/>
    </x:row>
    <x:row r="421">
      <x:c r="A421" s="18"/>
      <x:c r="B421" s="18"/>
      <x:c r="C421" s="18"/>
      <x:c r="D421" s="18"/>
      <x:c r="E421" s="18"/>
      <x:c r="F421" s="18"/>
      <x:c r="G421" s="18"/>
    </x:row>
    <x:row r="422">
      <x:c r="A422" s="18"/>
      <x:c r="B422" s="18"/>
      <x:c r="C422" s="18"/>
      <x:c r="D422" s="18"/>
      <x:c r="E422" s="18"/>
      <x:c r="F422" s="18"/>
      <x:c r="G422" s="18"/>
    </x:row>
    <x:row r="423">
      <x:c r="A423" s="18"/>
      <x:c r="B423" s="18"/>
      <x:c r="C423" s="18"/>
      <x:c r="D423" s="18"/>
      <x:c r="E423" s="18"/>
      <x:c r="F423" s="18"/>
      <x:c r="G423" s="18"/>
    </x:row>
    <x:row r="424">
      <x:c r="A424" s="18"/>
      <x:c r="B424" s="18"/>
      <x:c r="C424" s="18"/>
      <x:c r="D424" s="18"/>
      <x:c r="E424" s="18"/>
      <x:c r="F424" s="18"/>
      <x:c r="G424" s="18"/>
    </x:row>
    <x:row r="425">
      <x:c r="A425" s="18"/>
      <x:c r="B425" s="18"/>
      <x:c r="C425" s="18"/>
      <x:c r="D425" s="18"/>
      <x:c r="E425" s="18"/>
      <x:c r="F425" s="18"/>
      <x:c r="G425" s="18"/>
    </x:row>
    <x:row r="426">
      <x:c r="A426" s="18"/>
      <x:c r="B426" s="18"/>
      <x:c r="C426" s="18"/>
      <x:c r="D426" s="18"/>
      <x:c r="E426" s="18"/>
      <x:c r="F426" s="18"/>
      <x:c r="G426" s="18"/>
    </x:row>
    <x:row r="427">
      <x:c r="A427" s="18"/>
      <x:c r="B427" s="18"/>
      <x:c r="C427" s="18"/>
      <x:c r="D427" s="18"/>
      <x:c r="E427" s="18"/>
      <x:c r="F427" s="18"/>
      <x:c r="G427" s="18"/>
    </x:row>
    <x:row r="428">
      <x:c r="A428" s="18"/>
      <x:c r="B428" s="18"/>
      <x:c r="C428" s="18"/>
      <x:c r="D428" s="18"/>
      <x:c r="E428" s="18"/>
      <x:c r="F428" s="18"/>
      <x:c r="G428" s="18"/>
    </x:row>
    <x:row r="429">
      <x:c r="A429" s="18"/>
      <x:c r="B429" s="18"/>
      <x:c r="C429" s="18"/>
      <x:c r="D429" s="18"/>
      <x:c r="E429" s="18"/>
      <x:c r="F429" s="18"/>
      <x:c r="G429" s="18"/>
    </x:row>
    <x:row r="430">
      <x:c r="A430" s="18"/>
      <x:c r="B430" s="18"/>
      <x:c r="C430" s="18"/>
      <x:c r="D430" s="18"/>
      <x:c r="E430" s="18"/>
      <x:c r="F430" s="18"/>
      <x:c r="G430" s="18"/>
    </x:row>
    <x:row r="431">
      <x:c r="A431" s="18"/>
      <x:c r="B431" s="18"/>
      <x:c r="C431" s="18"/>
      <x:c r="D431" s="18"/>
      <x:c r="E431" s="18"/>
      <x:c r="F431" s="18"/>
      <x:c r="G431" s="18"/>
    </x:row>
    <x:row r="432">
      <x:c r="A432" s="18"/>
      <x:c r="B432" s="18"/>
      <x:c r="C432" s="18"/>
      <x:c r="D432" s="18"/>
      <x:c r="E432" s="18"/>
      <x:c r="F432" s="18"/>
      <x:c r="G432" s="18"/>
    </x:row>
    <x:row r="433">
      <x:c r="A433" s="18"/>
      <x:c r="B433" s="18"/>
      <x:c r="C433" s="18"/>
      <x:c r="D433" s="18"/>
      <x:c r="E433" s="18"/>
      <x:c r="F433" s="18"/>
      <x:c r="G433" s="18"/>
    </x:row>
    <x:row r="434">
      <x:c r="A434" s="18"/>
      <x:c r="B434" s="18"/>
      <x:c r="C434" s="18"/>
      <x:c r="D434" s="18"/>
      <x:c r="E434" s="18"/>
      <x:c r="F434" s="18"/>
      <x:c r="G434" s="18"/>
    </x:row>
    <x:row r="435">
      <x:c r="A435" s="18"/>
      <x:c r="B435" s="18"/>
      <x:c r="C435" s="18"/>
      <x:c r="D435" s="18"/>
      <x:c r="E435" s="18"/>
      <x:c r="F435" s="18"/>
      <x:c r="G435" s="18"/>
    </x:row>
    <x:row r="436">
      <x:c r="A436" s="18"/>
      <x:c r="B436" s="18"/>
      <x:c r="C436" s="18"/>
      <x:c r="D436" s="18"/>
      <x:c r="E436" s="18"/>
      <x:c r="F436" s="18"/>
      <x:c r="G436" s="18"/>
    </x:row>
    <x:row r="437">
      <x:c r="A437" s="18"/>
      <x:c r="B437" s="18"/>
      <x:c r="C437" s="18"/>
      <x:c r="D437" s="18"/>
      <x:c r="E437" s="18"/>
      <x:c r="F437" s="18"/>
      <x:c r="G437" s="18"/>
    </x:row>
    <x:row r="438">
      <x:c r="A438" s="18"/>
      <x:c r="B438" s="18"/>
      <x:c r="C438" s="18"/>
      <x:c r="D438" s="18"/>
      <x:c r="E438" s="18"/>
      <x:c r="F438" s="18"/>
      <x:c r="G438" s="18"/>
    </x:row>
    <x:row r="439">
      <x:c r="A439" s="18"/>
      <x:c r="B439" s="18"/>
      <x:c r="C439" s="18"/>
      <x:c r="D439" s="18"/>
      <x:c r="E439" s="18"/>
      <x:c r="F439" s="18"/>
      <x:c r="G439" s="18"/>
    </x:row>
    <x:row r="440">
      <x:c r="A440" s="18"/>
      <x:c r="B440" s="18"/>
      <x:c r="C440" s="18"/>
      <x:c r="D440" s="18"/>
      <x:c r="E440" s="18"/>
      <x:c r="F440" s="18"/>
      <x:c r="G440" s="18"/>
    </x:row>
    <x:row r="441">
      <x:c r="A441" s="18"/>
      <x:c r="B441" s="18"/>
      <x:c r="C441" s="18"/>
      <x:c r="D441" s="18"/>
      <x:c r="E441" s="18"/>
      <x:c r="F441" s="18"/>
      <x:c r="G441" s="18"/>
    </x:row>
    <x:row r="442">
      <x:c r="A442" s="18"/>
      <x:c r="B442" s="18"/>
      <x:c r="C442" s="18"/>
      <x:c r="D442" s="18"/>
      <x:c r="E442" s="18"/>
      <x:c r="F442" s="18"/>
      <x:c r="G442" s="18"/>
    </x:row>
    <x:row r="443">
      <x:c r="A443" s="18"/>
      <x:c r="B443" s="18"/>
      <x:c r="C443" s="18"/>
      <x:c r="D443" s="18"/>
      <x:c r="E443" s="18"/>
      <x:c r="F443" s="18"/>
      <x:c r="G443" s="18"/>
    </x:row>
    <x:row r="444">
      <x:c r="A444" s="18"/>
      <x:c r="B444" s="18"/>
      <x:c r="C444" s="18"/>
      <x:c r="D444" s="18"/>
      <x:c r="E444" s="18"/>
      <x:c r="F444" s="18"/>
      <x:c r="G444" s="18"/>
    </x:row>
    <x:row r="445">
      <x:c r="A445" s="18"/>
      <x:c r="B445" s="18"/>
      <x:c r="C445" s="18"/>
      <x:c r="D445" s="18"/>
      <x:c r="E445" s="18"/>
      <x:c r="F445" s="18"/>
      <x:c r="G445" s="18"/>
    </x:row>
    <x:row r="446">
      <x:c r="A446" s="18"/>
      <x:c r="B446" s="18"/>
      <x:c r="C446" s="18"/>
      <x:c r="D446" s="18"/>
      <x:c r="E446" s="18"/>
      <x:c r="F446" s="18"/>
      <x:c r="G446" s="18"/>
    </x:row>
    <x:row r="447">
      <x:c r="A447" s="18"/>
      <x:c r="B447" s="18"/>
      <x:c r="C447" s="18"/>
      <x:c r="D447" s="18"/>
      <x:c r="E447" s="18"/>
      <x:c r="F447" s="18"/>
      <x:c r="G447" s="18"/>
    </x:row>
    <x:row r="448">
      <x:c r="A448" s="18"/>
      <x:c r="B448" s="18"/>
      <x:c r="C448" s="18"/>
      <x:c r="D448" s="18"/>
      <x:c r="E448" s="18"/>
      <x:c r="F448" s="18"/>
      <x:c r="G448" s="18"/>
    </x:row>
    <x:row r="449">
      <x:c r="A449" s="18"/>
      <x:c r="B449" s="18"/>
      <x:c r="C449" s="18"/>
      <x:c r="D449" s="18"/>
      <x:c r="E449" s="18"/>
      <x:c r="F449" s="18"/>
      <x:c r="G449" s="18"/>
    </x:row>
    <x:row r="450">
      <x:c r="A450" s="18"/>
      <x:c r="B450" s="18"/>
      <x:c r="C450" s="18"/>
      <x:c r="D450" s="18"/>
      <x:c r="E450" s="18"/>
      <x:c r="F450" s="18"/>
      <x:c r="G450" s="18"/>
    </x:row>
    <x:row r="451">
      <x:c r="A451" s="18"/>
      <x:c r="B451" s="18"/>
      <x:c r="C451" s="18"/>
      <x:c r="D451" s="18"/>
      <x:c r="E451" s="18"/>
      <x:c r="F451" s="18"/>
      <x:c r="G451" s="18"/>
    </x:row>
    <x:row r="452">
      <x:c r="A452" s="18"/>
      <x:c r="B452" s="18"/>
      <x:c r="C452" s="18"/>
      <x:c r="D452" s="18"/>
      <x:c r="E452" s="18"/>
      <x:c r="F452" s="18"/>
      <x:c r="G452" s="18"/>
    </x:row>
    <x:row r="453">
      <x:c r="A453" s="18"/>
      <x:c r="B453" s="18"/>
      <x:c r="C453" s="18"/>
      <x:c r="D453" s="18"/>
      <x:c r="E453" s="18"/>
      <x:c r="F453" s="18"/>
      <x:c r="G453" s="18"/>
    </x:row>
    <x:row r="454">
      <x:c r="A454" s="18"/>
      <x:c r="B454" s="18"/>
      <x:c r="C454" s="18"/>
      <x:c r="D454" s="18"/>
      <x:c r="E454" s="18"/>
      <x:c r="F454" s="18"/>
      <x:c r="G454" s="18"/>
    </x:row>
    <x:row r="455">
      <x:c r="A455" s="18"/>
      <x:c r="B455" s="18"/>
      <x:c r="C455" s="18"/>
      <x:c r="D455" s="18"/>
      <x:c r="E455" s="18"/>
      <x:c r="F455" s="18"/>
      <x:c r="G455" s="18"/>
    </x:row>
    <x:row r="456">
      <x:c r="A456" s="18"/>
      <x:c r="B456" s="18"/>
      <x:c r="C456" s="18"/>
      <x:c r="D456" s="18"/>
      <x:c r="E456" s="18"/>
      <x:c r="F456" s="18"/>
      <x:c r="G456" s="18"/>
    </x:row>
    <x:row r="457">
      <x:c r="A457" s="18"/>
      <x:c r="B457" s="18"/>
      <x:c r="C457" s="18"/>
      <x:c r="D457" s="18"/>
      <x:c r="E457" s="18"/>
      <x:c r="F457" s="18"/>
      <x:c r="G457" s="18"/>
    </x:row>
    <x:row r="458">
      <x:c r="A458" s="18"/>
      <x:c r="B458" s="18"/>
      <x:c r="C458" s="18"/>
      <x:c r="D458" s="18"/>
      <x:c r="E458" s="18"/>
      <x:c r="F458" s="18"/>
      <x:c r="G458" s="18"/>
    </x:row>
    <x:row r="459">
      <x:c r="A459" s="18"/>
      <x:c r="B459" s="18"/>
      <x:c r="C459" s="18"/>
      <x:c r="D459" s="18"/>
      <x:c r="E459" s="18"/>
      <x:c r="F459" s="18"/>
      <x:c r="G459" s="18"/>
    </x:row>
    <x:row r="460">
      <x:c r="A460" s="18"/>
      <x:c r="B460" s="18"/>
      <x:c r="C460" s="18"/>
      <x:c r="D460" s="18"/>
      <x:c r="E460" s="18"/>
      <x:c r="F460" s="18"/>
      <x:c r="G460" s="18"/>
    </x:row>
    <x:row r="461">
      <x:c r="A461" s="18"/>
      <x:c r="B461" s="18"/>
      <x:c r="C461" s="18"/>
      <x:c r="D461" s="18"/>
      <x:c r="E461" s="18"/>
      <x:c r="F461" s="18"/>
      <x:c r="G461" s="18"/>
    </x:row>
    <x:row r="462">
      <x:c r="A462" s="18"/>
      <x:c r="B462" s="18"/>
      <x:c r="C462" s="18"/>
      <x:c r="D462" s="18"/>
      <x:c r="E462" s="18"/>
      <x:c r="F462" s="18"/>
      <x:c r="G462" s="18"/>
    </x:row>
    <x:row r="463">
      <x:c r="A463" s="18"/>
      <x:c r="B463" s="18"/>
      <x:c r="C463" s="18"/>
      <x:c r="D463" s="18"/>
      <x:c r="E463" s="18"/>
      <x:c r="F463" s="18"/>
      <x:c r="G463" s="18"/>
    </x:row>
    <x:row r="464">
      <x:c r="A464" s="18"/>
      <x:c r="B464" s="18"/>
      <x:c r="C464" s="18"/>
      <x:c r="D464" s="18"/>
      <x:c r="E464" s="18"/>
      <x:c r="F464" s="18"/>
      <x:c r="G464" s="18"/>
    </x:row>
    <x:row r="465">
      <x:c r="A465" s="18"/>
      <x:c r="B465" s="18"/>
      <x:c r="C465" s="18"/>
      <x:c r="D465" s="18"/>
      <x:c r="E465" s="18"/>
      <x:c r="F465" s="18"/>
      <x:c r="G465" s="18"/>
    </x:row>
    <x:row r="466">
      <x:c r="A466" s="18"/>
      <x:c r="B466" s="18"/>
      <x:c r="C466" s="18"/>
      <x:c r="D466" s="18"/>
      <x:c r="E466" s="18"/>
      <x:c r="F466" s="18"/>
      <x:c r="G466" s="18"/>
    </x:row>
    <x:row r="467">
      <x:c r="A467" s="18"/>
      <x:c r="B467" s="18"/>
      <x:c r="C467" s="18"/>
      <x:c r="D467" s="18"/>
      <x:c r="E467" s="18"/>
      <x:c r="F467" s="18"/>
      <x:c r="G467" s="18"/>
    </x:row>
    <x:row r="468">
      <x:c r="A468" s="18"/>
      <x:c r="B468" s="18"/>
      <x:c r="C468" s="18"/>
      <x:c r="D468" s="18"/>
      <x:c r="E468" s="18"/>
      <x:c r="F468" s="18"/>
      <x:c r="G468" s="18"/>
    </x:row>
    <x:row r="469">
      <x:c r="A469" s="18"/>
      <x:c r="B469" s="18"/>
      <x:c r="C469" s="18"/>
      <x:c r="D469" s="18"/>
      <x:c r="E469" s="18"/>
      <x:c r="F469" s="18"/>
      <x:c r="G469" s="18"/>
    </x:row>
    <x:row r="470">
      <x:c r="A470" s="18"/>
      <x:c r="B470" s="18"/>
      <x:c r="C470" s="18"/>
      <x:c r="D470" s="18"/>
      <x:c r="E470" s="18"/>
      <x:c r="F470" s="18"/>
      <x:c r="G470" s="18"/>
    </x:row>
    <x:row r="471">
      <x:c r="A471" s="18"/>
      <x:c r="B471" s="18"/>
      <x:c r="C471" s="18"/>
      <x:c r="D471" s="18"/>
      <x:c r="E471" s="18"/>
      <x:c r="F471" s="18"/>
      <x:c r="G471" s="18"/>
    </x:row>
    <x:row r="472">
      <x:c r="A472" s="18"/>
      <x:c r="B472" s="18"/>
      <x:c r="C472" s="18"/>
      <x:c r="D472" s="18"/>
      <x:c r="E472" s="18"/>
      <x:c r="F472" s="18"/>
      <x:c r="G472" s="18"/>
    </x:row>
    <x:row r="473">
      <x:c r="A473" s="18"/>
      <x:c r="B473" s="18"/>
      <x:c r="C473" s="18"/>
      <x:c r="D473" s="18"/>
      <x:c r="E473" s="18"/>
      <x:c r="F473" s="18"/>
      <x:c r="G473" s="18"/>
    </x:row>
    <x:row r="474">
      <x:c r="A474" s="18"/>
      <x:c r="B474" s="18"/>
      <x:c r="C474" s="18"/>
      <x:c r="D474" s="18"/>
      <x:c r="E474" s="18"/>
      <x:c r="F474" s="18"/>
      <x:c r="G474" s="18"/>
    </x:row>
    <x:row r="475">
      <x:c r="A475" s="18"/>
      <x:c r="B475" s="18"/>
      <x:c r="C475" s="18"/>
      <x:c r="D475" s="18"/>
      <x:c r="E475" s="18"/>
      <x:c r="F475" s="18"/>
      <x:c r="G475" s="18"/>
    </x:row>
    <x:row r="476">
      <x:c r="A476" s="18"/>
      <x:c r="B476" s="18"/>
      <x:c r="C476" s="18"/>
      <x:c r="D476" s="18"/>
      <x:c r="E476" s="18"/>
      <x:c r="F476" s="18"/>
      <x:c r="G476" s="18"/>
    </x:row>
    <x:row r="477">
      <x:c r="A477" s="18"/>
      <x:c r="B477" s="18"/>
      <x:c r="C477" s="18"/>
      <x:c r="D477" s="18"/>
      <x:c r="E477" s="18"/>
      <x:c r="F477" s="18"/>
      <x:c r="G477" s="18"/>
    </x:row>
    <x:row r="478">
      <x:c r="A478" s="18"/>
      <x:c r="B478" s="18"/>
      <x:c r="C478" s="18"/>
      <x:c r="D478" s="18"/>
      <x:c r="E478" s="18"/>
      <x:c r="F478" s="18"/>
      <x:c r="G478" s="18"/>
    </x:row>
    <x:row r="479">
      <x:c r="A479" s="18"/>
      <x:c r="B479" s="18"/>
      <x:c r="C479" s="18"/>
      <x:c r="D479" s="18"/>
      <x:c r="E479" s="18"/>
      <x:c r="F479" s="18"/>
      <x:c r="G479" s="18"/>
    </x:row>
    <x:row r="480">
      <x:c r="A480" s="18"/>
      <x:c r="B480" s="18"/>
      <x:c r="C480" s="18"/>
      <x:c r="D480" s="18"/>
      <x:c r="E480" s="18"/>
      <x:c r="F480" s="18"/>
      <x:c r="G480" s="18"/>
    </x:row>
    <x:row r="481">
      <x:c r="A481" s="18"/>
      <x:c r="B481" s="18"/>
      <x:c r="C481" s="18"/>
      <x:c r="D481" s="18"/>
      <x:c r="E481" s="18"/>
      <x:c r="F481" s="18"/>
      <x:c r="G481" s="18"/>
    </x:row>
    <x:row r="482">
      <x:c r="A482" s="18"/>
      <x:c r="B482" s="18"/>
      <x:c r="C482" s="18"/>
      <x:c r="D482" s="18"/>
      <x:c r="E482" s="18"/>
      <x:c r="F482" s="18"/>
      <x:c r="G482" s="18"/>
    </x:row>
    <x:row r="483">
      <x:c r="A483" s="18"/>
      <x:c r="B483" s="18"/>
      <x:c r="C483" s="18"/>
      <x:c r="D483" s="18"/>
      <x:c r="E483" s="18"/>
      <x:c r="F483" s="18"/>
      <x:c r="G483" s="18"/>
    </x:row>
    <x:row r="484">
      <x:c r="A484" s="18"/>
      <x:c r="B484" s="18"/>
      <x:c r="C484" s="18"/>
      <x:c r="D484" s="18"/>
      <x:c r="E484" s="18"/>
      <x:c r="F484" s="18"/>
      <x:c r="G484" s="18"/>
    </x:row>
    <x:row r="485">
      <x:c r="A485" s="18"/>
      <x:c r="B485" s="18"/>
      <x:c r="C485" s="18"/>
      <x:c r="D485" s="18"/>
      <x:c r="E485" s="18"/>
      <x:c r="F485" s="18"/>
      <x:c r="G485" s="18"/>
    </x:row>
    <x:row r="486">
      <x:c r="A486" s="18"/>
      <x:c r="B486" s="18"/>
      <x:c r="C486" s="18"/>
      <x:c r="D486" s="18"/>
      <x:c r="E486" s="18"/>
      <x:c r="F486" s="18"/>
      <x:c r="G486" s="18"/>
    </x:row>
    <x:row r="487">
      <x:c r="A487" s="18"/>
      <x:c r="B487" s="18"/>
      <x:c r="C487" s="18"/>
      <x:c r="D487" s="18"/>
      <x:c r="E487" s="18"/>
      <x:c r="F487" s="18"/>
      <x:c r="G487" s="18"/>
    </x:row>
    <x:row r="488">
      <x:c r="A488" s="18"/>
      <x:c r="B488" s="18"/>
      <x:c r="C488" s="18"/>
      <x:c r="D488" s="18"/>
      <x:c r="E488" s="18"/>
      <x:c r="F488" s="18"/>
      <x:c r="G488" s="18"/>
    </x:row>
    <x:row r="489">
      <x:c r="A489" s="18"/>
      <x:c r="B489" s="18"/>
      <x:c r="C489" s="18"/>
      <x:c r="D489" s="18"/>
      <x:c r="E489" s="18"/>
      <x:c r="F489" s="18"/>
      <x:c r="G489" s="18"/>
    </x:row>
    <x:row r="490">
      <x:c r="A490" s="18"/>
      <x:c r="B490" s="18"/>
      <x:c r="C490" s="18"/>
      <x:c r="D490" s="18"/>
      <x:c r="E490" s="18"/>
      <x:c r="F490" s="18"/>
      <x:c r="G490" s="18"/>
    </x:row>
    <x:row r="491">
      <x:c r="A491" s="18"/>
      <x:c r="B491" s="18"/>
      <x:c r="C491" s="18"/>
      <x:c r="D491" s="18"/>
      <x:c r="E491" s="18"/>
      <x:c r="F491" s="18"/>
      <x:c r="G491" s="18"/>
    </x:row>
    <x:row r="492">
      <x:c r="A492" s="18"/>
      <x:c r="B492" s="18"/>
      <x:c r="C492" s="18"/>
      <x:c r="D492" s="18"/>
      <x:c r="E492" s="18"/>
      <x:c r="F492" s="18"/>
      <x:c r="G492" s="18"/>
    </x:row>
    <x:row r="493">
      <x:c r="A493" s="18"/>
      <x:c r="B493" s="18"/>
      <x:c r="C493" s="18"/>
      <x:c r="D493" s="18"/>
      <x:c r="E493" s="18"/>
      <x:c r="F493" s="18"/>
      <x:c r="G493" s="18"/>
    </x:row>
    <x:row r="494">
      <x:c r="A494" s="18"/>
      <x:c r="B494" s="18"/>
      <x:c r="C494" s="18"/>
      <x:c r="D494" s="18"/>
      <x:c r="E494" s="18"/>
      <x:c r="F494" s="18"/>
      <x:c r="G494" s="18"/>
    </x:row>
    <x:row r="495">
      <x:c r="A495" s="18"/>
      <x:c r="B495" s="18"/>
      <x:c r="C495" s="18"/>
      <x:c r="D495" s="18"/>
      <x:c r="E495" s="18"/>
      <x:c r="F495" s="18"/>
      <x:c r="G495" s="18"/>
    </x:row>
    <x:row r="496">
      <x:c r="A496" s="18"/>
      <x:c r="B496" s="18"/>
      <x:c r="C496" s="18"/>
      <x:c r="D496" s="18"/>
      <x:c r="E496" s="18"/>
      <x:c r="F496" s="18"/>
      <x:c r="G496" s="18"/>
    </x:row>
    <x:row r="497">
      <x:c r="A497" s="18"/>
      <x:c r="B497" s="18"/>
      <x:c r="C497" s="18"/>
      <x:c r="D497" s="18"/>
      <x:c r="E497" s="18"/>
      <x:c r="F497" s="18"/>
      <x:c r="G497" s="18"/>
    </x:row>
    <x:row r="498">
      <x:c r="A498" s="18"/>
      <x:c r="B498" s="18"/>
      <x:c r="C498" s="18"/>
      <x:c r="D498" s="18"/>
      <x:c r="E498" s="18"/>
      <x:c r="F498" s="18"/>
      <x:c r="G498" s="18"/>
    </x:row>
    <x:row r="499">
      <x:c r="A499" s="18"/>
      <x:c r="B499" s="18"/>
      <x:c r="C499" s="18"/>
      <x:c r="D499" s="18"/>
      <x:c r="E499" s="18"/>
      <x:c r="F499" s="18"/>
      <x:c r="G499" s="18"/>
    </x:row>
    <x:row r="500">
      <x:c r="A500" s="18"/>
      <x:c r="B500" s="18"/>
      <x:c r="C500" s="18"/>
      <x:c r="D500" s="18"/>
      <x:c r="E500" s="18"/>
      <x:c r="F500" s="18"/>
      <x:c r="G500" s="18"/>
    </x:row>
  </x:sheetData>
  <x:mergeCells>
    <x:mergeCell ref="I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0" hidden="0" customWidth="1"/>
    <x:col min="3" max="3" width="10" hidden="0" customWidth="1"/>
    <x:col min="4" max="4" width="28.75" hidden="0" customWidth="1"/>
    <x:col min="5" max="5" width="18.75" hidden="0" customWidth="1"/>
    <x:col min="6" max="6" width="13.130000114440918" hidden="0" customWidth="1"/>
    <x:col min="7" max="7" width="13.130000114440918" hidden="0" customWidth="1"/>
    <x:col min="8" max="8" width="11.880000114440918" hidden="0" customWidth="1"/>
    <x:col min="9" max="9" width="18.75" hidden="0" customWidth="1"/>
    <x:col min="10" max="10" width="15" hidden="0" customWidth="1"/>
    <x:col min="11" max="11" width="20" hidden="0" customWidth="1"/>
    <x:col min="12" max="12" width="11.25" hidden="0" customWidth="1"/>
    <x:col min="13" max="13" width="13.130000114440918" hidden="0" customWidth="1"/>
    <x:col min="14" max="14" width="15" hidden="0" customWidth="1"/>
    <x:col min="15" max="15" width="13.130000114440918" hidden="0" customWidth="1"/>
    <x:col min="16" max="16" width="22.5" hidden="0" customWidth="1"/>
  </x:cols>
  <x:sheetData>
    <x:row r="1">
      <x:c r="A1" s="55" t="str">
        <x:v>Timestamp</x:v>
      </x:c>
      <x:c r="B1" s="55" t="str">
        <x:v>Participant</x:v>
      </x:c>
      <x:c r="C1" s="55" t="str">
        <x:v>Match ID</x:v>
      </x:c>
      <x:c r="D1" s="55" t="str">
        <x:v>Match Label</x:v>
      </x:c>
      <x:c r="E1" s="55" t="str">
        <x:v>Prediction</x:v>
      </x:c>
      <x:c r="F1" s="55" t="str">
        <x:v>Pred Home Goals</x:v>
      </x:c>
      <x:c r="G1" s="55" t="str">
        <x:v>Pred Away Goals</x:v>
      </x:c>
      <x:c r="H1" s="55" t="str">
        <x:v>Stage</x:v>
      </x:c>
      <x:c r="I1" s="55" t="str">
        <x:v>Kickoff</x:v>
      </x:c>
      <x:c r="J1" s="55" t="str">
        <x:v>Actual Result</x:v>
      </x:c>
      <x:c r="K1" s="55" t="str">
        <x:v>Team Advanced</x:v>
      </x:c>
      <x:c r="L1" s="55" t="str">
        <x:v>Eligible?</x:v>
      </x:c>
      <x:c r="M1" s="55" t="str">
        <x:v>Result Points</x:v>
      </x:c>
      <x:c r="N1" s="55" t="str">
        <x:v>Exact Score Bonus</x:v>
      </x:c>
      <x:c r="O1" s="55" t="str">
        <x:v>Total Points</x:v>
      </x:c>
      <x:c r="P1" s="55" t="str">
        <x:v>Status / Notes</x:v>
      </x:c>
    </x:row>
    <x:row r="2">
      <x:c r="A2" s="60" t="n">
        <x:f>'Form Responses 1'!A2</x:f>
        <x:v>0</x:v>
      </x:c>
      <x:c r="B2" s="18" t="n">
        <x:f>'Form Responses 1'!B2</x:f>
        <x:v>0</x:v>
      </x:c>
      <x:c r="C2" s="18" t="n">
        <x:f>'Form Responses 1'!C2</x:f>
        <x:v>0</x:v>
      </x:c>
      <x:c r="D2" s="18" t="n">
        <x:f>'Form Responses 1'!D2</x:f>
        <x:v>0</x:v>
      </x:c>
      <x:c r="E2" s="18" t="n">
        <x:f>'Form Responses 1'!E2</x:f>
        <x:v>0</x:v>
      </x:c>
      <x:c r="F2" s="18" t="n">
        <x:f>'Form Responses 1'!F2</x:f>
        <x:v>0</x:v>
      </x:c>
      <x:c r="G2" s="18" t="n">
        <x:f>'Form Responses 1'!G2</x:f>
        <x:v>0</x:v>
      </x:c>
      <x:c r="H2" s="18" t="str">
        <x:f>IF($C2="","",IFERROR(VLOOKUP($C2,Matches!$A$2:$Q$200,5,FALSE),"Unknown"))</x:f>
      </x:c>
      <x:c r="I2" s="60" t="str">
        <x:f>IF($C2="","",IFERROR(VLOOKUP($C2,Matches!$A$2:$Q$200,16,FALSE),""))</x:f>
      </x:c>
      <x:c r="J2" s="18" t="str">
        <x:f>IF($C2="","",IFERROR(VLOOKUP($C2,Matches!$A$2:$Q$200,11,FALSE),""))</x:f>
      </x:c>
      <x:c r="K2" s="18" t="str">
        <x:f>IF($C2="","",IFERROR(VLOOKUP($C2,Matches!$A$2:$Q$200,12,FALSE),""))</x:f>
      </x:c>
      <x:c r="L2" s="18" t="str">
        <x:f>IF($A2="","",IF($C2=1,"Yes",IF(OR($I2="",$A2&lt;$I2),"Yes","Late")))</x:f>
      </x:c>
      <x:c r="M2" s="66" t="str">
        <x:f>IF($A2="","",IF($L2&lt;&gt;"Yes",0,IF($E2="",0,IF($J2="",0,IF($H2="Group",IF($E2=$J2,Setup!$H$2,Setup!$H$3),IF($E2=$K2,Setup!$H$2,Setup!$H$3))))))</x:f>
      </x:c>
      <x:c r="N2" s="66" t="str">
        <x:f>IF($A2="","",IF($L2&lt;&gt;"Yes",0,IF(OR($F2="",$G2=""),0,IF(AND($F2=VLOOKUP($C2,Matches!$A$2:$Q$200,9,FALSE),$G2=VLOOKUP($C2,Matches!$A$2:$Q$200,10,FALSE)),Setup!$H$5,0))))</x:f>
      </x:c>
      <x:c r="O2" s="66" t="str">
        <x:f>IF($A2="","",$M2+$N2)</x:f>
      </x:c>
      <x:c r="P2" s="18" t="str">
        <x:f>IF($A2="","",IF($L2="Late","Late - 0 points",IF($J2="","Waiting for result",IF($O2&gt;0,"Scored",IF($O2&lt;0,"Wrong pick","No points")))))</x:f>
      </x:c>
    </x:row>
    <x:row r="3">
      <x:c r="A3" s="60" t="n">
        <x:f>'Form Responses 1'!A3</x:f>
        <x:v>0</x:v>
      </x:c>
      <x:c r="B3" s="18" t="n">
        <x:f>'Form Responses 1'!B3</x:f>
        <x:v>0</x:v>
      </x:c>
      <x:c r="C3" s="18" t="n">
        <x:f>'Form Responses 1'!C3</x:f>
        <x:v>0</x:v>
      </x:c>
      <x:c r="D3" s="18" t="n">
        <x:f>'Form Responses 1'!D3</x:f>
        <x:v>0</x:v>
      </x:c>
      <x:c r="E3" s="18" t="n">
        <x:f>'Form Responses 1'!E3</x:f>
        <x:v>0</x:v>
      </x:c>
      <x:c r="F3" s="18" t="n">
        <x:f>'Form Responses 1'!F3</x:f>
        <x:v>0</x:v>
      </x:c>
      <x:c r="G3" s="18" t="n">
        <x:f>'Form Responses 1'!G3</x:f>
        <x:v>0</x:v>
      </x:c>
      <x:c r="H3" s="18" t="str">
        <x:f>IF($C3="","",IFERROR(VLOOKUP($C3,Matches!$A$2:$Q$200,5,FALSE),"Unknown"))</x:f>
      </x:c>
      <x:c r="I3" s="60" t="str">
        <x:f>IF($C3="","",IFERROR(VLOOKUP($C3,Matches!$A$2:$Q$200,16,FALSE),""))</x:f>
      </x:c>
      <x:c r="J3" s="18" t="str">
        <x:f>IF($C3="","",IFERROR(VLOOKUP($C3,Matches!$A$2:$Q$200,11,FALSE),""))</x:f>
      </x:c>
      <x:c r="K3" s="18" t="str">
        <x:f>IF($C3="","",IFERROR(VLOOKUP($C3,Matches!$A$2:$Q$200,12,FALSE),""))</x:f>
      </x:c>
      <x:c r="L3" s="18" t="str">
        <x:f>IF($A3="","",IF($C3=1,"Yes",IF(OR($I3="",$A3&lt;$I3),"Yes","Late")))</x:f>
      </x:c>
      <x:c r="M3" s="66" t="str">
        <x:f>IF($A3="","",IF($L3&lt;&gt;"Yes",0,IF($E3="",0,IF($J3="",0,IF($H3="Group",IF($E3=$J3,Setup!$H$2,Setup!$H$3),IF($E3=$K3,Setup!$H$2,Setup!$H$3))))))</x:f>
      </x:c>
      <x:c r="N3" s="66" t="str">
        <x:f>IF($A3="","",IF($L3&lt;&gt;"Yes",0,IF(OR($F3="",$G3=""),0,IF(AND($F3=VLOOKUP($C3,Matches!$A$2:$Q$200,9,FALSE),$G3=VLOOKUP($C3,Matches!$A$2:$Q$200,10,FALSE)),Setup!$H$5,0))))</x:f>
      </x:c>
      <x:c r="O3" s="66" t="str">
        <x:f>IF($A3="","",$M3+$N3)</x:f>
      </x:c>
      <x:c r="P3" s="18" t="str">
        <x:f>IF($A3="","",IF($L3="Late","Late - 0 points",IF($J3="","Waiting for result",IF($O3&gt;0,"Scored",IF($O3&lt;0,"Wrong pick","No points")))))</x:f>
      </x:c>
    </x:row>
    <x:row r="4">
      <x:c r="A4" s="60" t="n">
        <x:f>'Form Responses 1'!A4</x:f>
        <x:v>0</x:v>
      </x:c>
      <x:c r="B4" s="18" t="n">
        <x:f>'Form Responses 1'!B4</x:f>
        <x:v>0</x:v>
      </x:c>
      <x:c r="C4" s="18" t="n">
        <x:f>'Form Responses 1'!C4</x:f>
        <x:v>0</x:v>
      </x:c>
      <x:c r="D4" s="18" t="n">
        <x:f>'Form Responses 1'!D4</x:f>
        <x:v>0</x:v>
      </x:c>
      <x:c r="E4" s="18" t="n">
        <x:f>'Form Responses 1'!E4</x:f>
        <x:v>0</x:v>
      </x:c>
      <x:c r="F4" s="18" t="n">
        <x:f>'Form Responses 1'!F4</x:f>
        <x:v>0</x:v>
      </x:c>
      <x:c r="G4" s="18" t="n">
        <x:f>'Form Responses 1'!G4</x:f>
        <x:v>0</x:v>
      </x:c>
      <x:c r="H4" s="18" t="str">
        <x:f>IF($C4="","",IFERROR(VLOOKUP($C4,Matches!$A$2:$Q$200,5,FALSE),"Unknown"))</x:f>
      </x:c>
      <x:c r="I4" s="60" t="str">
        <x:f>IF($C4="","",IFERROR(VLOOKUP($C4,Matches!$A$2:$Q$200,16,FALSE),""))</x:f>
      </x:c>
      <x:c r="J4" s="18" t="str">
        <x:f>IF($C4="","",IFERROR(VLOOKUP($C4,Matches!$A$2:$Q$200,11,FALSE),""))</x:f>
      </x:c>
      <x:c r="K4" s="18" t="str">
        <x:f>IF($C4="","",IFERROR(VLOOKUP($C4,Matches!$A$2:$Q$200,12,FALSE),""))</x:f>
      </x:c>
      <x:c r="L4" s="18" t="str">
        <x:f>IF($A4="","",IF($C4=1,"Yes",IF(OR($I4="",$A4&lt;$I4),"Yes","Late")))</x:f>
      </x:c>
      <x:c r="M4" s="66" t="str">
        <x:f>IF($A4="","",IF($L4&lt;&gt;"Yes",0,IF($E4="",0,IF($J4="",0,IF($H4="Group",IF($E4=$J4,Setup!$H$2,Setup!$H$3),IF($E4=$K4,Setup!$H$2,Setup!$H$3))))))</x:f>
      </x:c>
      <x:c r="N4" s="66" t="str">
        <x:f>IF($A4="","",IF($L4&lt;&gt;"Yes",0,IF(OR($F4="",$G4=""),0,IF(AND($F4=VLOOKUP($C4,Matches!$A$2:$Q$200,9,FALSE),$G4=VLOOKUP($C4,Matches!$A$2:$Q$200,10,FALSE)),Setup!$H$5,0))))</x:f>
      </x:c>
      <x:c r="O4" s="66" t="str">
        <x:f>IF($A4="","",$M4+$N4)</x:f>
      </x:c>
      <x:c r="P4" s="18" t="str">
        <x:f>IF($A4="","",IF($L4="Late","Late - 0 points",IF($J4="","Waiting for result",IF($O4&gt;0,"Scored",IF($O4&lt;0,"Wrong pick","No points")))))</x:f>
      </x:c>
    </x:row>
    <x:row r="5">
      <x:c r="A5" s="60" t="n">
        <x:f>'Form Responses 1'!A5</x:f>
        <x:v>0</x:v>
      </x:c>
      <x:c r="B5" s="18" t="n">
        <x:f>'Form Responses 1'!B5</x:f>
        <x:v>0</x:v>
      </x:c>
      <x:c r="C5" s="18" t="n">
        <x:f>'Form Responses 1'!C5</x:f>
        <x:v>0</x:v>
      </x:c>
      <x:c r="D5" s="18" t="n">
        <x:f>'Form Responses 1'!D5</x:f>
        <x:v>0</x:v>
      </x:c>
      <x:c r="E5" s="18" t="n">
        <x:f>'Form Responses 1'!E5</x:f>
        <x:v>0</x:v>
      </x:c>
      <x:c r="F5" s="18" t="n">
        <x:f>'Form Responses 1'!F5</x:f>
        <x:v>0</x:v>
      </x:c>
      <x:c r="G5" s="18" t="n">
        <x:f>'Form Responses 1'!G5</x:f>
        <x:v>0</x:v>
      </x:c>
      <x:c r="H5" s="18" t="str">
        <x:f>IF($C5="","",IFERROR(VLOOKUP($C5,Matches!$A$2:$Q$200,5,FALSE),"Unknown"))</x:f>
      </x:c>
      <x:c r="I5" s="60" t="str">
        <x:f>IF($C5="","",IFERROR(VLOOKUP($C5,Matches!$A$2:$Q$200,16,FALSE),""))</x:f>
      </x:c>
      <x:c r="J5" s="18" t="str">
        <x:f>IF($C5="","",IFERROR(VLOOKUP($C5,Matches!$A$2:$Q$200,11,FALSE),""))</x:f>
      </x:c>
      <x:c r="K5" s="18" t="str">
        <x:f>IF($C5="","",IFERROR(VLOOKUP($C5,Matches!$A$2:$Q$200,12,FALSE),""))</x:f>
      </x:c>
      <x:c r="L5" s="18" t="str">
        <x:f>IF($A5="","",IF($C5=1,"Yes",IF(OR($I5="",$A5&lt;$I5),"Yes","Late")))</x:f>
      </x:c>
      <x:c r="M5" s="66" t="str">
        <x:f>IF($A5="","",IF($L5&lt;&gt;"Yes",0,IF($E5="",0,IF($J5="",0,IF($H5="Group",IF($E5=$J5,Setup!$H$2,Setup!$H$3),IF($E5=$K5,Setup!$H$2,Setup!$H$3))))))</x:f>
      </x:c>
      <x:c r="N5" s="66" t="str">
        <x:f>IF($A5="","",IF($L5&lt;&gt;"Yes",0,IF(OR($F5="",$G5=""),0,IF(AND($F5=VLOOKUP($C5,Matches!$A$2:$Q$200,9,FALSE),$G5=VLOOKUP($C5,Matches!$A$2:$Q$200,10,FALSE)),Setup!$H$5,0))))</x:f>
      </x:c>
      <x:c r="O5" s="66" t="str">
        <x:f>IF($A5="","",$M5+$N5)</x:f>
      </x:c>
      <x:c r="P5" s="18" t="str">
        <x:f>IF($A5="","",IF($L5="Late","Late - 0 points",IF($J5="","Waiting for result",IF($O5&gt;0,"Scored",IF($O5&lt;0,"Wrong pick","No points")))))</x:f>
      </x:c>
    </x:row>
    <x:row r="6">
      <x:c r="A6" s="60" t="n">
        <x:f>'Form Responses 1'!A6</x:f>
        <x:v>0</x:v>
      </x:c>
      <x:c r="B6" s="18" t="n">
        <x:f>'Form Responses 1'!B6</x:f>
        <x:v>0</x:v>
      </x:c>
      <x:c r="C6" s="18" t="n">
        <x:f>'Form Responses 1'!C6</x:f>
        <x:v>0</x:v>
      </x:c>
      <x:c r="D6" s="18" t="n">
        <x:f>'Form Responses 1'!D6</x:f>
        <x:v>0</x:v>
      </x:c>
      <x:c r="E6" s="18" t="n">
        <x:f>'Form Responses 1'!E6</x:f>
        <x:v>0</x:v>
      </x:c>
      <x:c r="F6" s="18" t="n">
        <x:f>'Form Responses 1'!F6</x:f>
        <x:v>0</x:v>
      </x:c>
      <x:c r="G6" s="18" t="n">
        <x:f>'Form Responses 1'!G6</x:f>
        <x:v>0</x:v>
      </x:c>
      <x:c r="H6" s="18" t="str">
        <x:f>IF($C6="","",IFERROR(VLOOKUP($C6,Matches!$A$2:$Q$200,5,FALSE),"Unknown"))</x:f>
      </x:c>
      <x:c r="I6" s="60" t="str">
        <x:f>IF($C6="","",IFERROR(VLOOKUP($C6,Matches!$A$2:$Q$200,16,FALSE),""))</x:f>
      </x:c>
      <x:c r="J6" s="18" t="str">
        <x:f>IF($C6="","",IFERROR(VLOOKUP($C6,Matches!$A$2:$Q$200,11,FALSE),""))</x:f>
      </x:c>
      <x:c r="K6" s="18" t="str">
        <x:f>IF($C6="","",IFERROR(VLOOKUP($C6,Matches!$A$2:$Q$200,12,FALSE),""))</x:f>
      </x:c>
      <x:c r="L6" s="18" t="str">
        <x:f>IF($A6="","",IF($C6=1,"Yes",IF(OR($I6="",$A6&lt;$I6),"Yes","Late")))</x:f>
      </x:c>
      <x:c r="M6" s="66" t="str">
        <x:f>IF($A6="","",IF($L6&lt;&gt;"Yes",0,IF($E6="",0,IF($J6="",0,IF($H6="Group",IF($E6=$J6,Setup!$H$2,Setup!$H$3),IF($E6=$K6,Setup!$H$2,Setup!$H$3))))))</x:f>
      </x:c>
      <x:c r="N6" s="66" t="str">
        <x:f>IF($A6="","",IF($L6&lt;&gt;"Yes",0,IF(OR($F6="",$G6=""),0,IF(AND($F6=VLOOKUP($C6,Matches!$A$2:$Q$200,9,FALSE),$G6=VLOOKUP($C6,Matches!$A$2:$Q$200,10,FALSE)),Setup!$H$5,0))))</x:f>
      </x:c>
      <x:c r="O6" s="66" t="str">
        <x:f>IF($A6="","",$M6+$N6)</x:f>
      </x:c>
      <x:c r="P6" s="18" t="str">
        <x:f>IF($A6="","",IF($L6="Late","Late - 0 points",IF($J6="","Waiting for result",IF($O6&gt;0,"Scored",IF($O6&lt;0,"Wrong pick","No points")))))</x:f>
      </x:c>
    </x:row>
    <x:row r="7">
      <x:c r="A7" s="60" t="n">
        <x:f>'Form Responses 1'!A7</x:f>
        <x:v>0</x:v>
      </x:c>
      <x:c r="B7" s="18" t="n">
        <x:f>'Form Responses 1'!B7</x:f>
        <x:v>0</x:v>
      </x:c>
      <x:c r="C7" s="18" t="n">
        <x:f>'Form Responses 1'!C7</x:f>
        <x:v>0</x:v>
      </x:c>
      <x:c r="D7" s="18" t="n">
        <x:f>'Form Responses 1'!D7</x:f>
        <x:v>0</x:v>
      </x:c>
      <x:c r="E7" s="18" t="n">
        <x:f>'Form Responses 1'!E7</x:f>
        <x:v>0</x:v>
      </x:c>
      <x:c r="F7" s="18" t="n">
        <x:f>'Form Responses 1'!F7</x:f>
        <x:v>0</x:v>
      </x:c>
      <x:c r="G7" s="18" t="n">
        <x:f>'Form Responses 1'!G7</x:f>
        <x:v>0</x:v>
      </x:c>
      <x:c r="H7" s="18" t="str">
        <x:f>IF($C7="","",IFERROR(VLOOKUP($C7,Matches!$A$2:$Q$200,5,FALSE),"Unknown"))</x:f>
      </x:c>
      <x:c r="I7" s="60" t="str">
        <x:f>IF($C7="","",IFERROR(VLOOKUP($C7,Matches!$A$2:$Q$200,16,FALSE),""))</x:f>
      </x:c>
      <x:c r="J7" s="18" t="str">
        <x:f>IF($C7="","",IFERROR(VLOOKUP($C7,Matches!$A$2:$Q$200,11,FALSE),""))</x:f>
      </x:c>
      <x:c r="K7" s="18" t="str">
        <x:f>IF($C7="","",IFERROR(VLOOKUP($C7,Matches!$A$2:$Q$200,12,FALSE),""))</x:f>
      </x:c>
      <x:c r="L7" s="18" t="str">
        <x:f>IF($A7="","",IF($C7=1,"Yes",IF(OR($I7="",$A7&lt;$I7),"Yes","Late")))</x:f>
      </x:c>
      <x:c r="M7" s="66" t="str">
        <x:f>IF($A7="","",IF($L7&lt;&gt;"Yes",0,IF($E7="",0,IF($J7="",0,IF($H7="Group",IF($E7=$J7,Setup!$H$2,Setup!$H$3),IF($E7=$K7,Setup!$H$2,Setup!$H$3))))))</x:f>
      </x:c>
      <x:c r="N7" s="66" t="str">
        <x:f>IF($A7="","",IF($L7&lt;&gt;"Yes",0,IF(OR($F7="",$G7=""),0,IF(AND($F7=VLOOKUP($C7,Matches!$A$2:$Q$200,9,FALSE),$G7=VLOOKUP($C7,Matches!$A$2:$Q$200,10,FALSE)),Setup!$H$5,0))))</x:f>
      </x:c>
      <x:c r="O7" s="66" t="str">
        <x:f>IF($A7="","",$M7+$N7)</x:f>
      </x:c>
      <x:c r="P7" s="18" t="str">
        <x:f>IF($A7="","",IF($L7="Late","Late - 0 points",IF($J7="","Waiting for result",IF($O7&gt;0,"Scored",IF($O7&lt;0,"Wrong pick","No points")))))</x:f>
      </x:c>
    </x:row>
    <x:row r="8">
      <x:c r="A8" s="60" t="n">
        <x:f>'Form Responses 1'!A8</x:f>
        <x:v>0</x:v>
      </x:c>
      <x:c r="B8" s="18" t="n">
        <x:f>'Form Responses 1'!B8</x:f>
        <x:v>0</x:v>
      </x:c>
      <x:c r="C8" s="18" t="n">
        <x:f>'Form Responses 1'!C8</x:f>
        <x:v>0</x:v>
      </x:c>
      <x:c r="D8" s="18" t="n">
        <x:f>'Form Responses 1'!D8</x:f>
        <x:v>0</x:v>
      </x:c>
      <x:c r="E8" s="18" t="n">
        <x:f>'Form Responses 1'!E8</x:f>
        <x:v>0</x:v>
      </x:c>
      <x:c r="F8" s="18" t="n">
        <x:f>'Form Responses 1'!F8</x:f>
        <x:v>0</x:v>
      </x:c>
      <x:c r="G8" s="18" t="n">
        <x:f>'Form Responses 1'!G8</x:f>
        <x:v>0</x:v>
      </x:c>
      <x:c r="H8" s="18" t="str">
        <x:f>IF($C8="","",IFERROR(VLOOKUP($C8,Matches!$A$2:$Q$200,5,FALSE),"Unknown"))</x:f>
      </x:c>
      <x:c r="I8" s="60" t="str">
        <x:f>IF($C8="","",IFERROR(VLOOKUP($C8,Matches!$A$2:$Q$200,16,FALSE),""))</x:f>
      </x:c>
      <x:c r="J8" s="18" t="str">
        <x:f>IF($C8="","",IFERROR(VLOOKUP($C8,Matches!$A$2:$Q$200,11,FALSE),""))</x:f>
      </x:c>
      <x:c r="K8" s="18" t="str">
        <x:f>IF($C8="","",IFERROR(VLOOKUP($C8,Matches!$A$2:$Q$200,12,FALSE),""))</x:f>
      </x:c>
      <x:c r="L8" s="18" t="str">
        <x:f>IF($A8="","",IF($C8=1,"Yes",IF(OR($I8="",$A8&lt;$I8),"Yes","Late")))</x:f>
      </x:c>
      <x:c r="M8" s="66" t="str">
        <x:f>IF($A8="","",IF($L8&lt;&gt;"Yes",0,IF($E8="",0,IF($J8="",0,IF($H8="Group",IF($E8=$J8,Setup!$H$2,Setup!$H$3),IF($E8=$K8,Setup!$H$2,Setup!$H$3))))))</x:f>
      </x:c>
      <x:c r="N8" s="66" t="str">
        <x:f>IF($A8="","",IF($L8&lt;&gt;"Yes",0,IF(OR($F8="",$G8=""),0,IF(AND($F8=VLOOKUP($C8,Matches!$A$2:$Q$200,9,FALSE),$G8=VLOOKUP($C8,Matches!$A$2:$Q$200,10,FALSE)),Setup!$H$5,0))))</x:f>
      </x:c>
      <x:c r="O8" s="66" t="str">
        <x:f>IF($A8="","",$M8+$N8)</x:f>
      </x:c>
      <x:c r="P8" s="18" t="str">
        <x:f>IF($A8="","",IF($L8="Late","Late - 0 points",IF($J8="","Waiting for result",IF($O8&gt;0,"Scored",IF($O8&lt;0,"Wrong pick","No points")))))</x:f>
      </x:c>
    </x:row>
    <x:row r="9">
      <x:c r="A9" s="60" t="n">
        <x:f>'Form Responses 1'!A9</x:f>
        <x:v>0</x:v>
      </x:c>
      <x:c r="B9" s="18" t="n">
        <x:f>'Form Responses 1'!B9</x:f>
        <x:v>0</x:v>
      </x:c>
      <x:c r="C9" s="18" t="n">
        <x:f>'Form Responses 1'!C9</x:f>
        <x:v>0</x:v>
      </x:c>
      <x:c r="D9" s="18" t="n">
        <x:f>'Form Responses 1'!D9</x:f>
        <x:v>0</x:v>
      </x:c>
      <x:c r="E9" s="18" t="n">
        <x:f>'Form Responses 1'!E9</x:f>
        <x:v>0</x:v>
      </x:c>
      <x:c r="F9" s="18" t="n">
        <x:f>'Form Responses 1'!F9</x:f>
        <x:v>0</x:v>
      </x:c>
      <x:c r="G9" s="18" t="n">
        <x:f>'Form Responses 1'!G9</x:f>
        <x:v>0</x:v>
      </x:c>
      <x:c r="H9" s="18" t="str">
        <x:f>IF($C9="","",IFERROR(VLOOKUP($C9,Matches!$A$2:$Q$200,5,FALSE),"Unknown"))</x:f>
      </x:c>
      <x:c r="I9" s="60" t="str">
        <x:f>IF($C9="","",IFERROR(VLOOKUP($C9,Matches!$A$2:$Q$200,16,FALSE),""))</x:f>
      </x:c>
      <x:c r="J9" s="18" t="str">
        <x:f>IF($C9="","",IFERROR(VLOOKUP($C9,Matches!$A$2:$Q$200,11,FALSE),""))</x:f>
      </x:c>
      <x:c r="K9" s="18" t="str">
        <x:f>IF($C9="","",IFERROR(VLOOKUP($C9,Matches!$A$2:$Q$200,12,FALSE),""))</x:f>
      </x:c>
      <x:c r="L9" s="18" t="str">
        <x:f>IF($A9="","",IF($C9=1,"Yes",IF(OR($I9="",$A9&lt;$I9),"Yes","Late")))</x:f>
      </x:c>
      <x:c r="M9" s="66" t="str">
        <x:f>IF($A9="","",IF($L9&lt;&gt;"Yes",0,IF($E9="",0,IF($J9="",0,IF($H9="Group",IF($E9=$J9,Setup!$H$2,Setup!$H$3),IF($E9=$K9,Setup!$H$2,Setup!$H$3))))))</x:f>
      </x:c>
      <x:c r="N9" s="66" t="str">
        <x:f>IF($A9="","",IF($L9&lt;&gt;"Yes",0,IF(OR($F9="",$G9=""),0,IF(AND($F9=VLOOKUP($C9,Matches!$A$2:$Q$200,9,FALSE),$G9=VLOOKUP($C9,Matches!$A$2:$Q$200,10,FALSE)),Setup!$H$5,0))))</x:f>
      </x:c>
      <x:c r="O9" s="66" t="str">
        <x:f>IF($A9="","",$M9+$N9)</x:f>
      </x:c>
      <x:c r="P9" s="18" t="str">
        <x:f>IF($A9="","",IF($L9="Late","Late - 0 points",IF($J9="","Waiting for result",IF($O9&gt;0,"Scored",IF($O9&lt;0,"Wrong pick","No points")))))</x:f>
      </x:c>
    </x:row>
    <x:row r="10">
      <x:c r="A10" s="60" t="n">
        <x:f>'Form Responses 1'!A10</x:f>
        <x:v>0</x:v>
      </x:c>
      <x:c r="B10" s="18" t="n">
        <x:f>'Form Responses 1'!B10</x:f>
        <x:v>0</x:v>
      </x:c>
      <x:c r="C10" s="18" t="n">
        <x:f>'Form Responses 1'!C10</x:f>
        <x:v>0</x:v>
      </x:c>
      <x:c r="D10" s="18" t="n">
        <x:f>'Form Responses 1'!D10</x:f>
        <x:v>0</x:v>
      </x:c>
      <x:c r="E10" s="18" t="n">
        <x:f>'Form Responses 1'!E10</x:f>
        <x:v>0</x:v>
      </x:c>
      <x:c r="F10" s="18" t="n">
        <x:f>'Form Responses 1'!F10</x:f>
        <x:v>0</x:v>
      </x:c>
      <x:c r="G10" s="18" t="n">
        <x:f>'Form Responses 1'!G10</x:f>
        <x:v>0</x:v>
      </x:c>
      <x:c r="H10" s="18" t="str">
        <x:f>IF($C10="","",IFERROR(VLOOKUP($C10,Matches!$A$2:$Q$200,5,FALSE),"Unknown"))</x:f>
      </x:c>
      <x:c r="I10" s="60" t="str">
        <x:f>IF($C10="","",IFERROR(VLOOKUP($C10,Matches!$A$2:$Q$200,16,FALSE),""))</x:f>
      </x:c>
      <x:c r="J10" s="18" t="str">
        <x:f>IF($C10="","",IFERROR(VLOOKUP($C10,Matches!$A$2:$Q$200,11,FALSE),""))</x:f>
      </x:c>
      <x:c r="K10" s="18" t="str">
        <x:f>IF($C10="","",IFERROR(VLOOKUP($C10,Matches!$A$2:$Q$200,12,FALSE),""))</x:f>
      </x:c>
      <x:c r="L10" s="18" t="str">
        <x:f>IF($A10="","",IF($C10=1,"Yes",IF(OR($I10="",$A10&lt;$I10),"Yes","Late")))</x:f>
      </x:c>
      <x:c r="M10" s="66" t="str">
        <x:f>IF($A10="","",IF($L10&lt;&gt;"Yes",0,IF($E10="",0,IF($J10="",0,IF($H10="Group",IF($E10=$J10,Setup!$H$2,Setup!$H$3),IF($E10=$K10,Setup!$H$2,Setup!$H$3))))))</x:f>
      </x:c>
      <x:c r="N10" s="66" t="str">
        <x:f>IF($A10="","",IF($L10&lt;&gt;"Yes",0,IF(OR($F10="",$G10=""),0,IF(AND($F10=VLOOKUP($C10,Matches!$A$2:$Q$200,9,FALSE),$G10=VLOOKUP($C10,Matches!$A$2:$Q$200,10,FALSE)),Setup!$H$5,0))))</x:f>
      </x:c>
      <x:c r="O10" s="66" t="str">
        <x:f>IF($A10="","",$M10+$N10)</x:f>
      </x:c>
      <x:c r="P10" s="18" t="str">
        <x:f>IF($A10="","",IF($L10="Late","Late - 0 points",IF($J10="","Waiting for result",IF($O10&gt;0,"Scored",IF($O10&lt;0,"Wrong pick","No points")))))</x:f>
      </x:c>
    </x:row>
    <x:row r="11">
      <x:c r="A11" s="60" t="n">
        <x:f>'Form Responses 1'!A11</x:f>
        <x:v>0</x:v>
      </x:c>
      <x:c r="B11" s="18" t="n">
        <x:f>'Form Responses 1'!B11</x:f>
        <x:v>0</x:v>
      </x:c>
      <x:c r="C11" s="18" t="n">
        <x:f>'Form Responses 1'!C11</x:f>
        <x:v>0</x:v>
      </x:c>
      <x:c r="D11" s="18" t="n">
        <x:f>'Form Responses 1'!D11</x:f>
        <x:v>0</x:v>
      </x:c>
      <x:c r="E11" s="18" t="n">
        <x:f>'Form Responses 1'!E11</x:f>
        <x:v>0</x:v>
      </x:c>
      <x:c r="F11" s="18" t="n">
        <x:f>'Form Responses 1'!F11</x:f>
        <x:v>0</x:v>
      </x:c>
      <x:c r="G11" s="18" t="n">
        <x:f>'Form Responses 1'!G11</x:f>
        <x:v>0</x:v>
      </x:c>
      <x:c r="H11" s="18" t="str">
        <x:f>IF($C11="","",IFERROR(VLOOKUP($C11,Matches!$A$2:$Q$200,5,FALSE),"Unknown"))</x:f>
      </x:c>
      <x:c r="I11" s="60" t="str">
        <x:f>IF($C11="","",IFERROR(VLOOKUP($C11,Matches!$A$2:$Q$200,16,FALSE),""))</x:f>
      </x:c>
      <x:c r="J11" s="18" t="str">
        <x:f>IF($C11="","",IFERROR(VLOOKUP($C11,Matches!$A$2:$Q$200,11,FALSE),""))</x:f>
      </x:c>
      <x:c r="K11" s="18" t="str">
        <x:f>IF($C11="","",IFERROR(VLOOKUP($C11,Matches!$A$2:$Q$200,12,FALSE),""))</x:f>
      </x:c>
      <x:c r="L11" s="18" t="str">
        <x:f>IF($A11="","",IF($C11=1,"Yes",IF(OR($I11="",$A11&lt;$I11),"Yes","Late")))</x:f>
      </x:c>
      <x:c r="M11" s="66" t="str">
        <x:f>IF($A11="","",IF($L11&lt;&gt;"Yes",0,IF($E11="",0,IF($J11="",0,IF($H11="Group",IF($E11=$J11,Setup!$H$2,Setup!$H$3),IF($E11=$K11,Setup!$H$2,Setup!$H$3))))))</x:f>
      </x:c>
      <x:c r="N11" s="66" t="str">
        <x:f>IF($A11="","",IF($L11&lt;&gt;"Yes",0,IF(OR($F11="",$G11=""),0,IF(AND($F11=VLOOKUP($C11,Matches!$A$2:$Q$200,9,FALSE),$G11=VLOOKUP($C11,Matches!$A$2:$Q$200,10,FALSE)),Setup!$H$5,0))))</x:f>
      </x:c>
      <x:c r="O11" s="66" t="str">
        <x:f>IF($A11="","",$M11+$N11)</x:f>
      </x:c>
      <x:c r="P11" s="18" t="str">
        <x:f>IF($A11="","",IF($L11="Late","Late - 0 points",IF($J11="","Waiting for result",IF($O11&gt;0,"Scored",IF($O11&lt;0,"Wrong pick","No points")))))</x:f>
      </x:c>
    </x:row>
    <x:row r="12">
      <x:c r="A12" s="60" t="n">
        <x:f>'Form Responses 1'!A12</x:f>
        <x:v>0</x:v>
      </x:c>
      <x:c r="B12" s="18" t="n">
        <x:f>'Form Responses 1'!B12</x:f>
        <x:v>0</x:v>
      </x:c>
      <x:c r="C12" s="18" t="n">
        <x:f>'Form Responses 1'!C12</x:f>
        <x:v>0</x:v>
      </x:c>
      <x:c r="D12" s="18" t="n">
        <x:f>'Form Responses 1'!D12</x:f>
        <x:v>0</x:v>
      </x:c>
      <x:c r="E12" s="18" t="n">
        <x:f>'Form Responses 1'!E12</x:f>
        <x:v>0</x:v>
      </x:c>
      <x:c r="F12" s="18" t="n">
        <x:f>'Form Responses 1'!F12</x:f>
        <x:v>0</x:v>
      </x:c>
      <x:c r="G12" s="18" t="n">
        <x:f>'Form Responses 1'!G12</x:f>
        <x:v>0</x:v>
      </x:c>
      <x:c r="H12" s="18" t="str">
        <x:f>IF($C12="","",IFERROR(VLOOKUP($C12,Matches!$A$2:$Q$200,5,FALSE),"Unknown"))</x:f>
      </x:c>
      <x:c r="I12" s="60" t="str">
        <x:f>IF($C12="","",IFERROR(VLOOKUP($C12,Matches!$A$2:$Q$200,16,FALSE),""))</x:f>
      </x:c>
      <x:c r="J12" s="18" t="str">
        <x:f>IF($C12="","",IFERROR(VLOOKUP($C12,Matches!$A$2:$Q$200,11,FALSE),""))</x:f>
      </x:c>
      <x:c r="K12" s="18" t="str">
        <x:f>IF($C12="","",IFERROR(VLOOKUP($C12,Matches!$A$2:$Q$200,12,FALSE),""))</x:f>
      </x:c>
      <x:c r="L12" s="18" t="str">
        <x:f>IF($A12="","",IF($C12=1,"Yes",IF(OR($I12="",$A12&lt;$I12),"Yes","Late")))</x:f>
      </x:c>
      <x:c r="M12" s="66" t="str">
        <x:f>IF($A12="","",IF($L12&lt;&gt;"Yes",0,IF($E12="",0,IF($J12="",0,IF($H12="Group",IF($E12=$J12,Setup!$H$2,Setup!$H$3),IF($E12=$K12,Setup!$H$2,Setup!$H$3))))))</x:f>
      </x:c>
      <x:c r="N12" s="66" t="str">
        <x:f>IF($A12="","",IF($L12&lt;&gt;"Yes",0,IF(OR($F12="",$G12=""),0,IF(AND($F12=VLOOKUP($C12,Matches!$A$2:$Q$200,9,FALSE),$G12=VLOOKUP($C12,Matches!$A$2:$Q$200,10,FALSE)),Setup!$H$5,0))))</x:f>
      </x:c>
      <x:c r="O12" s="66" t="str">
        <x:f>IF($A12="","",$M12+$N12)</x:f>
      </x:c>
      <x:c r="P12" s="18" t="str">
        <x:f>IF($A12="","",IF($L12="Late","Late - 0 points",IF($J12="","Waiting for result",IF($O12&gt;0,"Scored",IF($O12&lt;0,"Wrong pick","No points")))))</x:f>
      </x:c>
    </x:row>
    <x:row r="13">
      <x:c r="A13" s="60" t="n">
        <x:f>'Form Responses 1'!A13</x:f>
        <x:v>0</x:v>
      </x:c>
      <x:c r="B13" s="18" t="n">
        <x:f>'Form Responses 1'!B13</x:f>
        <x:v>0</x:v>
      </x:c>
      <x:c r="C13" s="18" t="n">
        <x:f>'Form Responses 1'!C13</x:f>
        <x:v>0</x:v>
      </x:c>
      <x:c r="D13" s="18" t="n">
        <x:f>'Form Responses 1'!D13</x:f>
        <x:v>0</x:v>
      </x:c>
      <x:c r="E13" s="18" t="n">
        <x:f>'Form Responses 1'!E13</x:f>
        <x:v>0</x:v>
      </x:c>
      <x:c r="F13" s="18" t="n">
        <x:f>'Form Responses 1'!F13</x:f>
        <x:v>0</x:v>
      </x:c>
      <x:c r="G13" s="18" t="n">
        <x:f>'Form Responses 1'!G13</x:f>
        <x:v>0</x:v>
      </x:c>
      <x:c r="H13" s="18" t="str">
        <x:f>IF($C13="","",IFERROR(VLOOKUP($C13,Matches!$A$2:$Q$200,5,FALSE),"Unknown"))</x:f>
      </x:c>
      <x:c r="I13" s="60" t="str">
        <x:f>IF($C13="","",IFERROR(VLOOKUP($C13,Matches!$A$2:$Q$200,16,FALSE),""))</x:f>
      </x:c>
      <x:c r="J13" s="18" t="str">
        <x:f>IF($C13="","",IFERROR(VLOOKUP($C13,Matches!$A$2:$Q$200,11,FALSE),""))</x:f>
      </x:c>
      <x:c r="K13" s="18" t="str">
        <x:f>IF($C13="","",IFERROR(VLOOKUP($C13,Matches!$A$2:$Q$200,12,FALSE),""))</x:f>
      </x:c>
      <x:c r="L13" s="18" t="str">
        <x:f>IF($A13="","",IF($C13=1,"Yes",IF(OR($I13="",$A13&lt;$I13),"Yes","Late")))</x:f>
      </x:c>
      <x:c r="M13" s="66" t="str">
        <x:f>IF($A13="","",IF($L13&lt;&gt;"Yes",0,IF($E13="",0,IF($J13="",0,IF($H13="Group",IF($E13=$J13,Setup!$H$2,Setup!$H$3),IF($E13=$K13,Setup!$H$2,Setup!$H$3))))))</x:f>
      </x:c>
      <x:c r="N13" s="66" t="str">
        <x:f>IF($A13="","",IF($L13&lt;&gt;"Yes",0,IF(OR($F13="",$G13=""),0,IF(AND($F13=VLOOKUP($C13,Matches!$A$2:$Q$200,9,FALSE),$G13=VLOOKUP($C13,Matches!$A$2:$Q$200,10,FALSE)),Setup!$H$5,0))))</x:f>
      </x:c>
      <x:c r="O13" s="66" t="str">
        <x:f>IF($A13="","",$M13+$N13)</x:f>
      </x:c>
      <x:c r="P13" s="18" t="str">
        <x:f>IF($A13="","",IF($L13="Late","Late - 0 points",IF($J13="","Waiting for result",IF($O13&gt;0,"Scored",IF($O13&lt;0,"Wrong pick","No points")))))</x:f>
      </x:c>
    </x:row>
    <x:row r="14">
      <x:c r="A14" s="60" t="n">
        <x:f>'Form Responses 1'!A14</x:f>
        <x:v>0</x:v>
      </x:c>
      <x:c r="B14" s="18" t="n">
        <x:f>'Form Responses 1'!B14</x:f>
        <x:v>0</x:v>
      </x:c>
      <x:c r="C14" s="18" t="n">
        <x:f>'Form Responses 1'!C14</x:f>
        <x:v>0</x:v>
      </x:c>
      <x:c r="D14" s="18" t="n">
        <x:f>'Form Responses 1'!D14</x:f>
        <x:v>0</x:v>
      </x:c>
      <x:c r="E14" s="18" t="n">
        <x:f>'Form Responses 1'!E14</x:f>
        <x:v>0</x:v>
      </x:c>
      <x:c r="F14" s="18" t="n">
        <x:f>'Form Responses 1'!F14</x:f>
        <x:v>0</x:v>
      </x:c>
      <x:c r="G14" s="18" t="n">
        <x:f>'Form Responses 1'!G14</x:f>
        <x:v>0</x:v>
      </x:c>
      <x:c r="H14" s="18" t="str">
        <x:f>IF($C14="","",IFERROR(VLOOKUP($C14,Matches!$A$2:$Q$200,5,FALSE),"Unknown"))</x:f>
      </x:c>
      <x:c r="I14" s="60" t="str">
        <x:f>IF($C14="","",IFERROR(VLOOKUP($C14,Matches!$A$2:$Q$200,16,FALSE),""))</x:f>
      </x:c>
      <x:c r="J14" s="18" t="str">
        <x:f>IF($C14="","",IFERROR(VLOOKUP($C14,Matches!$A$2:$Q$200,11,FALSE),""))</x:f>
      </x:c>
      <x:c r="K14" s="18" t="str">
        <x:f>IF($C14="","",IFERROR(VLOOKUP($C14,Matches!$A$2:$Q$200,12,FALSE),""))</x:f>
      </x:c>
      <x:c r="L14" s="18" t="str">
        <x:f>IF($A14="","",IF($C14=1,"Yes",IF(OR($I14="",$A14&lt;$I14),"Yes","Late")))</x:f>
      </x:c>
      <x:c r="M14" s="66" t="str">
        <x:f>IF($A14="","",IF($L14&lt;&gt;"Yes",0,IF($E14="",0,IF($J14="",0,IF($H14="Group",IF($E14=$J14,Setup!$H$2,Setup!$H$3),IF($E14=$K14,Setup!$H$2,Setup!$H$3))))))</x:f>
      </x:c>
      <x:c r="N14" s="66" t="str">
        <x:f>IF($A14="","",IF($L14&lt;&gt;"Yes",0,IF(OR($F14="",$G14=""),0,IF(AND($F14=VLOOKUP($C14,Matches!$A$2:$Q$200,9,FALSE),$G14=VLOOKUP($C14,Matches!$A$2:$Q$200,10,FALSE)),Setup!$H$5,0))))</x:f>
      </x:c>
      <x:c r="O14" s="66" t="str">
        <x:f>IF($A14="","",$M14+$N14)</x:f>
      </x:c>
      <x:c r="P14" s="18" t="str">
        <x:f>IF($A14="","",IF($L14="Late","Late - 0 points",IF($J14="","Waiting for result",IF($O14&gt;0,"Scored",IF($O14&lt;0,"Wrong pick","No points")))))</x:f>
      </x:c>
    </x:row>
    <x:row r="15">
      <x:c r="A15" s="60" t="n">
        <x:f>'Form Responses 1'!A15</x:f>
        <x:v>0</x:v>
      </x:c>
      <x:c r="B15" s="18" t="n">
        <x:f>'Form Responses 1'!B15</x:f>
        <x:v>0</x:v>
      </x:c>
      <x:c r="C15" s="18" t="n">
        <x:f>'Form Responses 1'!C15</x:f>
        <x:v>0</x:v>
      </x:c>
      <x:c r="D15" s="18" t="n">
        <x:f>'Form Responses 1'!D15</x:f>
        <x:v>0</x:v>
      </x:c>
      <x:c r="E15" s="18" t="n">
        <x:f>'Form Responses 1'!E15</x:f>
        <x:v>0</x:v>
      </x:c>
      <x:c r="F15" s="18" t="n">
        <x:f>'Form Responses 1'!F15</x:f>
        <x:v>0</x:v>
      </x:c>
      <x:c r="G15" s="18" t="n">
        <x:f>'Form Responses 1'!G15</x:f>
        <x:v>0</x:v>
      </x:c>
      <x:c r="H15" s="18" t="str">
        <x:f>IF($C15="","",IFERROR(VLOOKUP($C15,Matches!$A$2:$Q$200,5,FALSE),"Unknown"))</x:f>
      </x:c>
      <x:c r="I15" s="60" t="str">
        <x:f>IF($C15="","",IFERROR(VLOOKUP($C15,Matches!$A$2:$Q$200,16,FALSE),""))</x:f>
      </x:c>
      <x:c r="J15" s="18" t="str">
        <x:f>IF($C15="","",IFERROR(VLOOKUP($C15,Matches!$A$2:$Q$200,11,FALSE),""))</x:f>
      </x:c>
      <x:c r="K15" s="18" t="str">
        <x:f>IF($C15="","",IFERROR(VLOOKUP($C15,Matches!$A$2:$Q$200,12,FALSE),""))</x:f>
      </x:c>
      <x:c r="L15" s="18" t="str">
        <x:f>IF($A15="","",IF($C15=1,"Yes",IF(OR($I15="",$A15&lt;$I15),"Yes","Late")))</x:f>
      </x:c>
      <x:c r="M15" s="66" t="str">
        <x:f>IF($A15="","",IF($L15&lt;&gt;"Yes",0,IF($E15="",0,IF($J15="",0,IF($H15="Group",IF($E15=$J15,Setup!$H$2,Setup!$H$3),IF($E15=$K15,Setup!$H$2,Setup!$H$3))))))</x:f>
      </x:c>
      <x:c r="N15" s="66" t="str">
        <x:f>IF($A15="","",IF($L15&lt;&gt;"Yes",0,IF(OR($F15="",$G15=""),0,IF(AND($F15=VLOOKUP($C15,Matches!$A$2:$Q$200,9,FALSE),$G15=VLOOKUP($C15,Matches!$A$2:$Q$200,10,FALSE)),Setup!$H$5,0))))</x:f>
      </x:c>
      <x:c r="O15" s="66" t="str">
        <x:f>IF($A15="","",$M15+$N15)</x:f>
      </x:c>
      <x:c r="P15" s="18" t="str">
        <x:f>IF($A15="","",IF($L15="Late","Late - 0 points",IF($J15="","Waiting for result",IF($O15&gt;0,"Scored",IF($O15&lt;0,"Wrong pick","No points")))))</x:f>
      </x:c>
    </x:row>
    <x:row r="16">
      <x:c r="A16" s="60" t="n">
        <x:f>'Form Responses 1'!A16</x:f>
        <x:v>0</x:v>
      </x:c>
      <x:c r="B16" s="18" t="n">
        <x:f>'Form Responses 1'!B16</x:f>
        <x:v>0</x:v>
      </x:c>
      <x:c r="C16" s="18" t="n">
        <x:f>'Form Responses 1'!C16</x:f>
        <x:v>0</x:v>
      </x:c>
      <x:c r="D16" s="18" t="n">
        <x:f>'Form Responses 1'!D16</x:f>
        <x:v>0</x:v>
      </x:c>
      <x:c r="E16" s="18" t="n">
        <x:f>'Form Responses 1'!E16</x:f>
        <x:v>0</x:v>
      </x:c>
      <x:c r="F16" s="18" t="n">
        <x:f>'Form Responses 1'!F16</x:f>
        <x:v>0</x:v>
      </x:c>
      <x:c r="G16" s="18" t="n">
        <x:f>'Form Responses 1'!G16</x:f>
        <x:v>0</x:v>
      </x:c>
      <x:c r="H16" s="18" t="str">
        <x:f>IF($C16="","",IFERROR(VLOOKUP($C16,Matches!$A$2:$Q$200,5,FALSE),"Unknown"))</x:f>
      </x:c>
      <x:c r="I16" s="60" t="str">
        <x:f>IF($C16="","",IFERROR(VLOOKUP($C16,Matches!$A$2:$Q$200,16,FALSE),""))</x:f>
      </x:c>
      <x:c r="J16" s="18" t="str">
        <x:f>IF($C16="","",IFERROR(VLOOKUP($C16,Matches!$A$2:$Q$200,11,FALSE),""))</x:f>
      </x:c>
      <x:c r="K16" s="18" t="str">
        <x:f>IF($C16="","",IFERROR(VLOOKUP($C16,Matches!$A$2:$Q$200,12,FALSE),""))</x:f>
      </x:c>
      <x:c r="L16" s="18" t="str">
        <x:f>IF($A16="","",IF($C16=1,"Yes",IF(OR($I16="",$A16&lt;$I16),"Yes","Late")))</x:f>
      </x:c>
      <x:c r="M16" s="66" t="str">
        <x:f>IF($A16="","",IF($L16&lt;&gt;"Yes",0,IF($E16="",0,IF($J16="",0,IF($H16="Group",IF($E16=$J16,Setup!$H$2,Setup!$H$3),IF($E16=$K16,Setup!$H$2,Setup!$H$3))))))</x:f>
      </x:c>
      <x:c r="N16" s="66" t="str">
        <x:f>IF($A16="","",IF($L16&lt;&gt;"Yes",0,IF(OR($F16="",$G16=""),0,IF(AND($F16=VLOOKUP($C16,Matches!$A$2:$Q$200,9,FALSE),$G16=VLOOKUP($C16,Matches!$A$2:$Q$200,10,FALSE)),Setup!$H$5,0))))</x:f>
      </x:c>
      <x:c r="O16" s="66" t="str">
        <x:f>IF($A16="","",$M16+$N16)</x:f>
      </x:c>
      <x:c r="P16" s="18" t="str">
        <x:f>IF($A16="","",IF($L16="Late","Late - 0 points",IF($J16="","Waiting for result",IF($O16&gt;0,"Scored",IF($O16&lt;0,"Wrong pick","No points")))))</x:f>
      </x:c>
    </x:row>
    <x:row r="17">
      <x:c r="A17" s="60" t="n">
        <x:f>'Form Responses 1'!A17</x:f>
        <x:v>0</x:v>
      </x:c>
      <x:c r="B17" s="18" t="n">
        <x:f>'Form Responses 1'!B17</x:f>
        <x:v>0</x:v>
      </x:c>
      <x:c r="C17" s="18" t="n">
        <x:f>'Form Responses 1'!C17</x:f>
        <x:v>0</x:v>
      </x:c>
      <x:c r="D17" s="18" t="n">
        <x:f>'Form Responses 1'!D17</x:f>
        <x:v>0</x:v>
      </x:c>
      <x:c r="E17" s="18" t="n">
        <x:f>'Form Responses 1'!E17</x:f>
        <x:v>0</x:v>
      </x:c>
      <x:c r="F17" s="18" t="n">
        <x:f>'Form Responses 1'!F17</x:f>
        <x:v>0</x:v>
      </x:c>
      <x:c r="G17" s="18" t="n">
        <x:f>'Form Responses 1'!G17</x:f>
        <x:v>0</x:v>
      </x:c>
      <x:c r="H17" s="18" t="str">
        <x:f>IF($C17="","",IFERROR(VLOOKUP($C17,Matches!$A$2:$Q$200,5,FALSE),"Unknown"))</x:f>
      </x:c>
      <x:c r="I17" s="60" t="str">
        <x:f>IF($C17="","",IFERROR(VLOOKUP($C17,Matches!$A$2:$Q$200,16,FALSE),""))</x:f>
      </x:c>
      <x:c r="J17" s="18" t="str">
        <x:f>IF($C17="","",IFERROR(VLOOKUP($C17,Matches!$A$2:$Q$200,11,FALSE),""))</x:f>
      </x:c>
      <x:c r="K17" s="18" t="str">
        <x:f>IF($C17="","",IFERROR(VLOOKUP($C17,Matches!$A$2:$Q$200,12,FALSE),""))</x:f>
      </x:c>
      <x:c r="L17" s="18" t="str">
        <x:f>IF($A17="","",IF($C17=1,"Yes",IF(OR($I17="",$A17&lt;$I17),"Yes","Late")))</x:f>
      </x:c>
      <x:c r="M17" s="66" t="str">
        <x:f>IF($A17="","",IF($L17&lt;&gt;"Yes",0,IF($E17="",0,IF($J17="",0,IF($H17="Group",IF($E17=$J17,Setup!$H$2,Setup!$H$3),IF($E17=$K17,Setup!$H$2,Setup!$H$3))))))</x:f>
      </x:c>
      <x:c r="N17" s="66" t="str">
        <x:f>IF($A17="","",IF($L17&lt;&gt;"Yes",0,IF(OR($F17="",$G17=""),0,IF(AND($F17=VLOOKUP($C17,Matches!$A$2:$Q$200,9,FALSE),$G17=VLOOKUP($C17,Matches!$A$2:$Q$200,10,FALSE)),Setup!$H$5,0))))</x:f>
      </x:c>
      <x:c r="O17" s="66" t="str">
        <x:f>IF($A17="","",$M17+$N17)</x:f>
      </x:c>
      <x:c r="P17" s="18" t="str">
        <x:f>IF($A17="","",IF($L17="Late","Late - 0 points",IF($J17="","Waiting for result",IF($O17&gt;0,"Scored",IF($O17&lt;0,"Wrong pick","No points")))))</x:f>
      </x:c>
    </x:row>
    <x:row r="18">
      <x:c r="A18" s="60" t="n">
        <x:f>'Form Responses 1'!A18</x:f>
        <x:v>0</x:v>
      </x:c>
      <x:c r="B18" s="18" t="n">
        <x:f>'Form Responses 1'!B18</x:f>
        <x:v>0</x:v>
      </x:c>
      <x:c r="C18" s="18" t="n">
        <x:f>'Form Responses 1'!C18</x:f>
        <x:v>0</x:v>
      </x:c>
      <x:c r="D18" s="18" t="n">
        <x:f>'Form Responses 1'!D18</x:f>
        <x:v>0</x:v>
      </x:c>
      <x:c r="E18" s="18" t="n">
        <x:f>'Form Responses 1'!E18</x:f>
        <x:v>0</x:v>
      </x:c>
      <x:c r="F18" s="18" t="n">
        <x:f>'Form Responses 1'!F18</x:f>
        <x:v>0</x:v>
      </x:c>
      <x:c r="G18" s="18" t="n">
        <x:f>'Form Responses 1'!G18</x:f>
        <x:v>0</x:v>
      </x:c>
      <x:c r="H18" s="18" t="str">
        <x:f>IF($C18="","",IFERROR(VLOOKUP($C18,Matches!$A$2:$Q$200,5,FALSE),"Unknown"))</x:f>
      </x:c>
      <x:c r="I18" s="60" t="str">
        <x:f>IF($C18="","",IFERROR(VLOOKUP($C18,Matches!$A$2:$Q$200,16,FALSE),""))</x:f>
      </x:c>
      <x:c r="J18" s="18" t="str">
        <x:f>IF($C18="","",IFERROR(VLOOKUP($C18,Matches!$A$2:$Q$200,11,FALSE),""))</x:f>
      </x:c>
      <x:c r="K18" s="18" t="str">
        <x:f>IF($C18="","",IFERROR(VLOOKUP($C18,Matches!$A$2:$Q$200,12,FALSE),""))</x:f>
      </x:c>
      <x:c r="L18" s="18" t="str">
        <x:f>IF($A18="","",IF($C18=1,"Yes",IF(OR($I18="",$A18&lt;$I18),"Yes","Late")))</x:f>
      </x:c>
      <x:c r="M18" s="66" t="str">
        <x:f>IF($A18="","",IF($L18&lt;&gt;"Yes",0,IF($E18="",0,IF($J18="",0,IF($H18="Group",IF($E18=$J18,Setup!$H$2,Setup!$H$3),IF($E18=$K18,Setup!$H$2,Setup!$H$3))))))</x:f>
      </x:c>
      <x:c r="N18" s="66" t="str">
        <x:f>IF($A18="","",IF($L18&lt;&gt;"Yes",0,IF(OR($F18="",$G18=""),0,IF(AND($F18=VLOOKUP($C18,Matches!$A$2:$Q$200,9,FALSE),$G18=VLOOKUP($C18,Matches!$A$2:$Q$200,10,FALSE)),Setup!$H$5,0))))</x:f>
      </x:c>
      <x:c r="O18" s="66" t="str">
        <x:f>IF($A18="","",$M18+$N18)</x:f>
      </x:c>
      <x:c r="P18" s="18" t="str">
        <x:f>IF($A18="","",IF($L18="Late","Late - 0 points",IF($J18="","Waiting for result",IF($O18&gt;0,"Scored",IF($O18&lt;0,"Wrong pick","No points")))))</x:f>
      </x:c>
    </x:row>
    <x:row r="19">
      <x:c r="A19" s="60" t="n">
        <x:f>'Form Responses 1'!A19</x:f>
        <x:v>0</x:v>
      </x:c>
      <x:c r="B19" s="18" t="n">
        <x:f>'Form Responses 1'!B19</x:f>
        <x:v>0</x:v>
      </x:c>
      <x:c r="C19" s="18" t="n">
        <x:f>'Form Responses 1'!C19</x:f>
        <x:v>0</x:v>
      </x:c>
      <x:c r="D19" s="18" t="n">
        <x:f>'Form Responses 1'!D19</x:f>
        <x:v>0</x:v>
      </x:c>
      <x:c r="E19" s="18" t="n">
        <x:f>'Form Responses 1'!E19</x:f>
        <x:v>0</x:v>
      </x:c>
      <x:c r="F19" s="18" t="n">
        <x:f>'Form Responses 1'!F19</x:f>
        <x:v>0</x:v>
      </x:c>
      <x:c r="G19" s="18" t="n">
        <x:f>'Form Responses 1'!G19</x:f>
        <x:v>0</x:v>
      </x:c>
      <x:c r="H19" s="18" t="str">
        <x:f>IF($C19="","",IFERROR(VLOOKUP($C19,Matches!$A$2:$Q$200,5,FALSE),"Unknown"))</x:f>
      </x:c>
      <x:c r="I19" s="60" t="str">
        <x:f>IF($C19="","",IFERROR(VLOOKUP($C19,Matches!$A$2:$Q$200,16,FALSE),""))</x:f>
      </x:c>
      <x:c r="J19" s="18" t="str">
        <x:f>IF($C19="","",IFERROR(VLOOKUP($C19,Matches!$A$2:$Q$200,11,FALSE),""))</x:f>
      </x:c>
      <x:c r="K19" s="18" t="str">
        <x:f>IF($C19="","",IFERROR(VLOOKUP($C19,Matches!$A$2:$Q$200,12,FALSE),""))</x:f>
      </x:c>
      <x:c r="L19" s="18" t="str">
        <x:f>IF($A19="","",IF($C19=1,"Yes",IF(OR($I19="",$A19&lt;$I19),"Yes","Late")))</x:f>
      </x:c>
      <x:c r="M19" s="66" t="str">
        <x:f>IF($A19="","",IF($L19&lt;&gt;"Yes",0,IF($E19="",0,IF($J19="",0,IF($H19="Group",IF($E19=$J19,Setup!$H$2,Setup!$H$3),IF($E19=$K19,Setup!$H$2,Setup!$H$3))))))</x:f>
      </x:c>
      <x:c r="N19" s="66" t="str">
        <x:f>IF($A19="","",IF($L19&lt;&gt;"Yes",0,IF(OR($F19="",$G19=""),0,IF(AND($F19=VLOOKUP($C19,Matches!$A$2:$Q$200,9,FALSE),$G19=VLOOKUP($C19,Matches!$A$2:$Q$200,10,FALSE)),Setup!$H$5,0))))</x:f>
      </x:c>
      <x:c r="O19" s="66" t="str">
        <x:f>IF($A19="","",$M19+$N19)</x:f>
      </x:c>
      <x:c r="P19" s="18" t="str">
        <x:f>IF($A19="","",IF($L19="Late","Late - 0 points",IF($J19="","Waiting for result",IF($O19&gt;0,"Scored",IF($O19&lt;0,"Wrong pick","No points")))))</x:f>
      </x:c>
    </x:row>
    <x:row r="20">
      <x:c r="A20" s="60" t="n">
        <x:f>'Form Responses 1'!A20</x:f>
        <x:v>0</x:v>
      </x:c>
      <x:c r="B20" s="18" t="n">
        <x:f>'Form Responses 1'!B20</x:f>
        <x:v>0</x:v>
      </x:c>
      <x:c r="C20" s="18" t="n">
        <x:f>'Form Responses 1'!C20</x:f>
        <x:v>0</x:v>
      </x:c>
      <x:c r="D20" s="18" t="n">
        <x:f>'Form Responses 1'!D20</x:f>
        <x:v>0</x:v>
      </x:c>
      <x:c r="E20" s="18" t="n">
        <x:f>'Form Responses 1'!E20</x:f>
        <x:v>0</x:v>
      </x:c>
      <x:c r="F20" s="18" t="n">
        <x:f>'Form Responses 1'!F20</x:f>
        <x:v>0</x:v>
      </x:c>
      <x:c r="G20" s="18" t="n">
        <x:f>'Form Responses 1'!G20</x:f>
        <x:v>0</x:v>
      </x:c>
      <x:c r="H20" s="18" t="str">
        <x:f>IF($C20="","",IFERROR(VLOOKUP($C20,Matches!$A$2:$Q$200,5,FALSE),"Unknown"))</x:f>
      </x:c>
      <x:c r="I20" s="60" t="str">
        <x:f>IF($C20="","",IFERROR(VLOOKUP($C20,Matches!$A$2:$Q$200,16,FALSE),""))</x:f>
      </x:c>
      <x:c r="J20" s="18" t="str">
        <x:f>IF($C20="","",IFERROR(VLOOKUP($C20,Matches!$A$2:$Q$200,11,FALSE),""))</x:f>
      </x:c>
      <x:c r="K20" s="18" t="str">
        <x:f>IF($C20="","",IFERROR(VLOOKUP($C20,Matches!$A$2:$Q$200,12,FALSE),""))</x:f>
      </x:c>
      <x:c r="L20" s="18" t="str">
        <x:f>IF($A20="","",IF($C20=1,"Yes",IF(OR($I20="",$A20&lt;$I20),"Yes","Late")))</x:f>
      </x:c>
      <x:c r="M20" s="66" t="str">
        <x:f>IF($A20="","",IF($L20&lt;&gt;"Yes",0,IF($E20="",0,IF($J20="",0,IF($H20="Group",IF($E20=$J20,Setup!$H$2,Setup!$H$3),IF($E20=$K20,Setup!$H$2,Setup!$H$3))))))</x:f>
      </x:c>
      <x:c r="N20" s="66" t="str">
        <x:f>IF($A20="","",IF($L20&lt;&gt;"Yes",0,IF(OR($F20="",$G20=""),0,IF(AND($F20=VLOOKUP($C20,Matches!$A$2:$Q$200,9,FALSE),$G20=VLOOKUP($C20,Matches!$A$2:$Q$200,10,FALSE)),Setup!$H$5,0))))</x:f>
      </x:c>
      <x:c r="O20" s="66" t="str">
        <x:f>IF($A20="","",$M20+$N20)</x:f>
      </x:c>
      <x:c r="P20" s="18" t="str">
        <x:f>IF($A20="","",IF($L20="Late","Late - 0 points",IF($J20="","Waiting for result",IF($O20&gt;0,"Scored",IF($O20&lt;0,"Wrong pick","No points")))))</x:f>
      </x:c>
    </x:row>
    <x:row r="21">
      <x:c r="A21" s="60" t="n">
        <x:f>'Form Responses 1'!A21</x:f>
        <x:v>0</x:v>
      </x:c>
      <x:c r="B21" s="18" t="n">
        <x:f>'Form Responses 1'!B21</x:f>
        <x:v>0</x:v>
      </x:c>
      <x:c r="C21" s="18" t="n">
        <x:f>'Form Responses 1'!C21</x:f>
        <x:v>0</x:v>
      </x:c>
      <x:c r="D21" s="18" t="n">
        <x:f>'Form Responses 1'!D21</x:f>
        <x:v>0</x:v>
      </x:c>
      <x:c r="E21" s="18" t="n">
        <x:f>'Form Responses 1'!E21</x:f>
        <x:v>0</x:v>
      </x:c>
      <x:c r="F21" s="18" t="n">
        <x:f>'Form Responses 1'!F21</x:f>
        <x:v>0</x:v>
      </x:c>
      <x:c r="G21" s="18" t="n">
        <x:f>'Form Responses 1'!G21</x:f>
        <x:v>0</x:v>
      </x:c>
      <x:c r="H21" s="18" t="str">
        <x:f>IF($C21="","",IFERROR(VLOOKUP($C21,Matches!$A$2:$Q$200,5,FALSE),"Unknown"))</x:f>
      </x:c>
      <x:c r="I21" s="60" t="str">
        <x:f>IF($C21="","",IFERROR(VLOOKUP($C21,Matches!$A$2:$Q$200,16,FALSE),""))</x:f>
      </x:c>
      <x:c r="J21" s="18" t="str">
        <x:f>IF($C21="","",IFERROR(VLOOKUP($C21,Matches!$A$2:$Q$200,11,FALSE),""))</x:f>
      </x:c>
      <x:c r="K21" s="18" t="str">
        <x:f>IF($C21="","",IFERROR(VLOOKUP($C21,Matches!$A$2:$Q$200,12,FALSE),""))</x:f>
      </x:c>
      <x:c r="L21" s="18" t="str">
        <x:f>IF($A21="","",IF($C21=1,"Yes",IF(OR($I21="",$A21&lt;$I21),"Yes","Late")))</x:f>
      </x:c>
      <x:c r="M21" s="66" t="str">
        <x:f>IF($A21="","",IF($L21&lt;&gt;"Yes",0,IF($E21="",0,IF($J21="",0,IF($H21="Group",IF($E21=$J21,Setup!$H$2,Setup!$H$3),IF($E21=$K21,Setup!$H$2,Setup!$H$3))))))</x:f>
      </x:c>
      <x:c r="N21" s="66" t="str">
        <x:f>IF($A21="","",IF($L21&lt;&gt;"Yes",0,IF(OR($F21="",$G21=""),0,IF(AND($F21=VLOOKUP($C21,Matches!$A$2:$Q$200,9,FALSE),$G21=VLOOKUP($C21,Matches!$A$2:$Q$200,10,FALSE)),Setup!$H$5,0))))</x:f>
      </x:c>
      <x:c r="O21" s="66" t="str">
        <x:f>IF($A21="","",$M21+$N21)</x:f>
      </x:c>
      <x:c r="P21" s="18" t="str">
        <x:f>IF($A21="","",IF($L21="Late","Late - 0 points",IF($J21="","Waiting for result",IF($O21&gt;0,"Scored",IF($O21&lt;0,"Wrong pick","No points")))))</x:f>
      </x:c>
    </x:row>
    <x:row r="22">
      <x:c r="A22" s="60" t="n">
        <x:f>'Form Responses 1'!A22</x:f>
        <x:v>0</x:v>
      </x:c>
      <x:c r="B22" s="18" t="n">
        <x:f>'Form Responses 1'!B22</x:f>
        <x:v>0</x:v>
      </x:c>
      <x:c r="C22" s="18" t="n">
        <x:f>'Form Responses 1'!C22</x:f>
        <x:v>0</x:v>
      </x:c>
      <x:c r="D22" s="18" t="n">
        <x:f>'Form Responses 1'!D22</x:f>
        <x:v>0</x:v>
      </x:c>
      <x:c r="E22" s="18" t="n">
        <x:f>'Form Responses 1'!E22</x:f>
        <x:v>0</x:v>
      </x:c>
      <x:c r="F22" s="18" t="n">
        <x:f>'Form Responses 1'!F22</x:f>
        <x:v>0</x:v>
      </x:c>
      <x:c r="G22" s="18" t="n">
        <x:f>'Form Responses 1'!G22</x:f>
        <x:v>0</x:v>
      </x:c>
      <x:c r="H22" s="18" t="str">
        <x:f>IF($C22="","",IFERROR(VLOOKUP($C22,Matches!$A$2:$Q$200,5,FALSE),"Unknown"))</x:f>
      </x:c>
      <x:c r="I22" s="60" t="str">
        <x:f>IF($C22="","",IFERROR(VLOOKUP($C22,Matches!$A$2:$Q$200,16,FALSE),""))</x:f>
      </x:c>
      <x:c r="J22" s="18" t="str">
        <x:f>IF($C22="","",IFERROR(VLOOKUP($C22,Matches!$A$2:$Q$200,11,FALSE),""))</x:f>
      </x:c>
      <x:c r="K22" s="18" t="str">
        <x:f>IF($C22="","",IFERROR(VLOOKUP($C22,Matches!$A$2:$Q$200,12,FALSE),""))</x:f>
      </x:c>
      <x:c r="L22" s="18" t="str">
        <x:f>IF($A22="","",IF($C22=1,"Yes",IF(OR($I22="",$A22&lt;$I22),"Yes","Late")))</x:f>
      </x:c>
      <x:c r="M22" s="66" t="str">
        <x:f>IF($A22="","",IF($L22&lt;&gt;"Yes",0,IF($E22="",0,IF($J22="",0,IF($H22="Group",IF($E22=$J22,Setup!$H$2,Setup!$H$3),IF($E22=$K22,Setup!$H$2,Setup!$H$3))))))</x:f>
      </x:c>
      <x:c r="N22" s="66" t="str">
        <x:f>IF($A22="","",IF($L22&lt;&gt;"Yes",0,IF(OR($F22="",$G22=""),0,IF(AND($F22=VLOOKUP($C22,Matches!$A$2:$Q$200,9,FALSE),$G22=VLOOKUP($C22,Matches!$A$2:$Q$200,10,FALSE)),Setup!$H$5,0))))</x:f>
      </x:c>
      <x:c r="O22" s="66" t="str">
        <x:f>IF($A22="","",$M22+$N22)</x:f>
      </x:c>
      <x:c r="P22" s="18" t="str">
        <x:f>IF($A22="","",IF($L22="Late","Late - 0 points",IF($J22="","Waiting for result",IF($O22&gt;0,"Scored",IF($O22&lt;0,"Wrong pick","No points")))))</x:f>
      </x:c>
    </x:row>
    <x:row r="23">
      <x:c r="A23" s="60" t="n">
        <x:f>'Form Responses 1'!A23</x:f>
        <x:v>0</x:v>
      </x:c>
      <x:c r="B23" s="18" t="n">
        <x:f>'Form Responses 1'!B23</x:f>
        <x:v>0</x:v>
      </x:c>
      <x:c r="C23" s="18" t="n">
        <x:f>'Form Responses 1'!C23</x:f>
        <x:v>0</x:v>
      </x:c>
      <x:c r="D23" s="18" t="n">
        <x:f>'Form Responses 1'!D23</x:f>
        <x:v>0</x:v>
      </x:c>
      <x:c r="E23" s="18" t="n">
        <x:f>'Form Responses 1'!E23</x:f>
        <x:v>0</x:v>
      </x:c>
      <x:c r="F23" s="18" t="n">
        <x:f>'Form Responses 1'!F23</x:f>
        <x:v>0</x:v>
      </x:c>
      <x:c r="G23" s="18" t="n">
        <x:f>'Form Responses 1'!G23</x:f>
        <x:v>0</x:v>
      </x:c>
      <x:c r="H23" s="18" t="str">
        <x:f>IF($C23="","",IFERROR(VLOOKUP($C23,Matches!$A$2:$Q$200,5,FALSE),"Unknown"))</x:f>
      </x:c>
      <x:c r="I23" s="60" t="str">
        <x:f>IF($C23="","",IFERROR(VLOOKUP($C23,Matches!$A$2:$Q$200,16,FALSE),""))</x:f>
      </x:c>
      <x:c r="J23" s="18" t="str">
        <x:f>IF($C23="","",IFERROR(VLOOKUP($C23,Matches!$A$2:$Q$200,11,FALSE),""))</x:f>
      </x:c>
      <x:c r="K23" s="18" t="str">
        <x:f>IF($C23="","",IFERROR(VLOOKUP($C23,Matches!$A$2:$Q$200,12,FALSE),""))</x:f>
      </x:c>
      <x:c r="L23" s="18" t="str">
        <x:f>IF($A23="","",IF($C23=1,"Yes",IF(OR($I23="",$A23&lt;$I23),"Yes","Late")))</x:f>
      </x:c>
      <x:c r="M23" s="66" t="str">
        <x:f>IF($A23="","",IF($L23&lt;&gt;"Yes",0,IF($E23="",0,IF($J23="",0,IF($H23="Group",IF($E23=$J23,Setup!$H$2,Setup!$H$3),IF($E23=$K23,Setup!$H$2,Setup!$H$3))))))</x:f>
      </x:c>
      <x:c r="N23" s="66" t="str">
        <x:f>IF($A23="","",IF($L23&lt;&gt;"Yes",0,IF(OR($F23="",$G23=""),0,IF(AND($F23=VLOOKUP($C23,Matches!$A$2:$Q$200,9,FALSE),$G23=VLOOKUP($C23,Matches!$A$2:$Q$200,10,FALSE)),Setup!$H$5,0))))</x:f>
      </x:c>
      <x:c r="O23" s="66" t="str">
        <x:f>IF($A23="","",$M23+$N23)</x:f>
      </x:c>
      <x:c r="P23" s="18" t="str">
        <x:f>IF($A23="","",IF($L23="Late","Late - 0 points",IF($J23="","Waiting for result",IF($O23&gt;0,"Scored",IF($O23&lt;0,"Wrong pick","No points")))))</x:f>
      </x:c>
    </x:row>
    <x:row r="24">
      <x:c r="A24" s="60" t="n">
        <x:f>'Form Responses 1'!A24</x:f>
        <x:v>0</x:v>
      </x:c>
      <x:c r="B24" s="18" t="n">
        <x:f>'Form Responses 1'!B24</x:f>
        <x:v>0</x:v>
      </x:c>
      <x:c r="C24" s="18" t="n">
        <x:f>'Form Responses 1'!C24</x:f>
        <x:v>0</x:v>
      </x:c>
      <x:c r="D24" s="18" t="n">
        <x:f>'Form Responses 1'!D24</x:f>
        <x:v>0</x:v>
      </x:c>
      <x:c r="E24" s="18" t="n">
        <x:f>'Form Responses 1'!E24</x:f>
        <x:v>0</x:v>
      </x:c>
      <x:c r="F24" s="18" t="n">
        <x:f>'Form Responses 1'!F24</x:f>
        <x:v>0</x:v>
      </x:c>
      <x:c r="G24" s="18" t="n">
        <x:f>'Form Responses 1'!G24</x:f>
        <x:v>0</x:v>
      </x:c>
      <x:c r="H24" s="18" t="str">
        <x:f>IF($C24="","",IFERROR(VLOOKUP($C24,Matches!$A$2:$Q$200,5,FALSE),"Unknown"))</x:f>
      </x:c>
      <x:c r="I24" s="60" t="str">
        <x:f>IF($C24="","",IFERROR(VLOOKUP($C24,Matches!$A$2:$Q$200,16,FALSE),""))</x:f>
      </x:c>
      <x:c r="J24" s="18" t="str">
        <x:f>IF($C24="","",IFERROR(VLOOKUP($C24,Matches!$A$2:$Q$200,11,FALSE),""))</x:f>
      </x:c>
      <x:c r="K24" s="18" t="str">
        <x:f>IF($C24="","",IFERROR(VLOOKUP($C24,Matches!$A$2:$Q$200,12,FALSE),""))</x:f>
      </x:c>
      <x:c r="L24" s="18" t="str">
        <x:f>IF($A24="","",IF($C24=1,"Yes",IF(OR($I24="",$A24&lt;$I24),"Yes","Late")))</x:f>
      </x:c>
      <x:c r="M24" s="66" t="str">
        <x:f>IF($A24="","",IF($L24&lt;&gt;"Yes",0,IF($E24="",0,IF($J24="",0,IF($H24="Group",IF($E24=$J24,Setup!$H$2,Setup!$H$3),IF($E24=$K24,Setup!$H$2,Setup!$H$3))))))</x:f>
      </x:c>
      <x:c r="N24" s="66" t="str">
        <x:f>IF($A24="","",IF($L24&lt;&gt;"Yes",0,IF(OR($F24="",$G24=""),0,IF(AND($F24=VLOOKUP($C24,Matches!$A$2:$Q$200,9,FALSE),$G24=VLOOKUP($C24,Matches!$A$2:$Q$200,10,FALSE)),Setup!$H$5,0))))</x:f>
      </x:c>
      <x:c r="O24" s="66" t="str">
        <x:f>IF($A24="","",$M24+$N24)</x:f>
      </x:c>
      <x:c r="P24" s="18" t="str">
        <x:f>IF($A24="","",IF($L24="Late","Late - 0 points",IF($J24="","Waiting for result",IF($O24&gt;0,"Scored",IF($O24&lt;0,"Wrong pick","No points")))))</x:f>
      </x:c>
    </x:row>
    <x:row r="25">
      <x:c r="A25" s="60" t="n">
        <x:f>'Form Responses 1'!A25</x:f>
        <x:v>0</x:v>
      </x:c>
      <x:c r="B25" s="18" t="n">
        <x:f>'Form Responses 1'!B25</x:f>
        <x:v>0</x:v>
      </x:c>
      <x:c r="C25" s="18" t="n">
        <x:f>'Form Responses 1'!C25</x:f>
        <x:v>0</x:v>
      </x:c>
      <x:c r="D25" s="18" t="n">
        <x:f>'Form Responses 1'!D25</x:f>
        <x:v>0</x:v>
      </x:c>
      <x:c r="E25" s="18" t="n">
        <x:f>'Form Responses 1'!E25</x:f>
        <x:v>0</x:v>
      </x:c>
      <x:c r="F25" s="18" t="n">
        <x:f>'Form Responses 1'!F25</x:f>
        <x:v>0</x:v>
      </x:c>
      <x:c r="G25" s="18" t="n">
        <x:f>'Form Responses 1'!G25</x:f>
        <x:v>0</x:v>
      </x:c>
      <x:c r="H25" s="18" t="str">
        <x:f>IF($C25="","",IFERROR(VLOOKUP($C25,Matches!$A$2:$Q$200,5,FALSE),"Unknown"))</x:f>
      </x:c>
      <x:c r="I25" s="60" t="str">
        <x:f>IF($C25="","",IFERROR(VLOOKUP($C25,Matches!$A$2:$Q$200,16,FALSE),""))</x:f>
      </x:c>
      <x:c r="J25" s="18" t="str">
        <x:f>IF($C25="","",IFERROR(VLOOKUP($C25,Matches!$A$2:$Q$200,11,FALSE),""))</x:f>
      </x:c>
      <x:c r="K25" s="18" t="str">
        <x:f>IF($C25="","",IFERROR(VLOOKUP($C25,Matches!$A$2:$Q$200,12,FALSE),""))</x:f>
      </x:c>
      <x:c r="L25" s="18" t="str">
        <x:f>IF($A25="","",IF($C25=1,"Yes",IF(OR($I25="",$A25&lt;$I25),"Yes","Late")))</x:f>
      </x:c>
      <x:c r="M25" s="66" t="str">
        <x:f>IF($A25="","",IF($L25&lt;&gt;"Yes",0,IF($E25="",0,IF($J25="",0,IF($H25="Group",IF($E25=$J25,Setup!$H$2,Setup!$H$3),IF($E25=$K25,Setup!$H$2,Setup!$H$3))))))</x:f>
      </x:c>
      <x:c r="N25" s="66" t="str">
        <x:f>IF($A25="","",IF($L25&lt;&gt;"Yes",0,IF(OR($F25="",$G25=""),0,IF(AND($F25=VLOOKUP($C25,Matches!$A$2:$Q$200,9,FALSE),$G25=VLOOKUP($C25,Matches!$A$2:$Q$200,10,FALSE)),Setup!$H$5,0))))</x:f>
      </x:c>
      <x:c r="O25" s="66" t="str">
        <x:f>IF($A25="","",$M25+$N25)</x:f>
      </x:c>
      <x:c r="P25" s="18" t="str">
        <x:f>IF($A25="","",IF($L25="Late","Late - 0 points",IF($J25="","Waiting for result",IF($O25&gt;0,"Scored",IF($O25&lt;0,"Wrong pick","No points")))))</x:f>
      </x:c>
    </x:row>
    <x:row r="26">
      <x:c r="A26" s="60" t="n">
        <x:f>'Form Responses 1'!A26</x:f>
        <x:v>0</x:v>
      </x:c>
      <x:c r="B26" s="18" t="n">
        <x:f>'Form Responses 1'!B26</x:f>
        <x:v>0</x:v>
      </x:c>
      <x:c r="C26" s="18" t="n">
        <x:f>'Form Responses 1'!C26</x:f>
        <x:v>0</x:v>
      </x:c>
      <x:c r="D26" s="18" t="n">
        <x:f>'Form Responses 1'!D26</x:f>
        <x:v>0</x:v>
      </x:c>
      <x:c r="E26" s="18" t="n">
        <x:f>'Form Responses 1'!E26</x:f>
        <x:v>0</x:v>
      </x:c>
      <x:c r="F26" s="18" t="n">
        <x:f>'Form Responses 1'!F26</x:f>
        <x:v>0</x:v>
      </x:c>
      <x:c r="G26" s="18" t="n">
        <x:f>'Form Responses 1'!G26</x:f>
        <x:v>0</x:v>
      </x:c>
      <x:c r="H26" s="18" t="str">
        <x:f>IF($C26="","",IFERROR(VLOOKUP($C26,Matches!$A$2:$Q$200,5,FALSE),"Unknown"))</x:f>
      </x:c>
      <x:c r="I26" s="60" t="str">
        <x:f>IF($C26="","",IFERROR(VLOOKUP($C26,Matches!$A$2:$Q$200,16,FALSE),""))</x:f>
      </x:c>
      <x:c r="J26" s="18" t="str">
        <x:f>IF($C26="","",IFERROR(VLOOKUP($C26,Matches!$A$2:$Q$200,11,FALSE),""))</x:f>
      </x:c>
      <x:c r="K26" s="18" t="str">
        <x:f>IF($C26="","",IFERROR(VLOOKUP($C26,Matches!$A$2:$Q$200,12,FALSE),""))</x:f>
      </x:c>
      <x:c r="L26" s="18" t="str">
        <x:f>IF($A26="","",IF($C26=1,"Yes",IF(OR($I26="",$A26&lt;$I26),"Yes","Late")))</x:f>
      </x:c>
      <x:c r="M26" s="66" t="str">
        <x:f>IF($A26="","",IF($L26&lt;&gt;"Yes",0,IF($E26="",0,IF($J26="",0,IF($H26="Group",IF($E26=$J26,Setup!$H$2,Setup!$H$3),IF($E26=$K26,Setup!$H$2,Setup!$H$3))))))</x:f>
      </x:c>
      <x:c r="N26" s="66" t="str">
        <x:f>IF($A26="","",IF($L26&lt;&gt;"Yes",0,IF(OR($F26="",$G26=""),0,IF(AND($F26=VLOOKUP($C26,Matches!$A$2:$Q$200,9,FALSE),$G26=VLOOKUP($C26,Matches!$A$2:$Q$200,10,FALSE)),Setup!$H$5,0))))</x:f>
      </x:c>
      <x:c r="O26" s="66" t="str">
        <x:f>IF($A26="","",$M26+$N26)</x:f>
      </x:c>
      <x:c r="P26" s="18" t="str">
        <x:f>IF($A26="","",IF($L26="Late","Late - 0 points",IF($J26="","Waiting for result",IF($O26&gt;0,"Scored",IF($O26&lt;0,"Wrong pick","No points")))))</x:f>
      </x:c>
    </x:row>
    <x:row r="27">
      <x:c r="A27" s="60" t="n">
        <x:f>'Form Responses 1'!A27</x:f>
        <x:v>0</x:v>
      </x:c>
      <x:c r="B27" s="18" t="n">
        <x:f>'Form Responses 1'!B27</x:f>
        <x:v>0</x:v>
      </x:c>
      <x:c r="C27" s="18" t="n">
        <x:f>'Form Responses 1'!C27</x:f>
        <x:v>0</x:v>
      </x:c>
      <x:c r="D27" s="18" t="n">
        <x:f>'Form Responses 1'!D27</x:f>
        <x:v>0</x:v>
      </x:c>
      <x:c r="E27" s="18" t="n">
        <x:f>'Form Responses 1'!E27</x:f>
        <x:v>0</x:v>
      </x:c>
      <x:c r="F27" s="18" t="n">
        <x:f>'Form Responses 1'!F27</x:f>
        <x:v>0</x:v>
      </x:c>
      <x:c r="G27" s="18" t="n">
        <x:f>'Form Responses 1'!G27</x:f>
        <x:v>0</x:v>
      </x:c>
      <x:c r="H27" s="18" t="str">
        <x:f>IF($C27="","",IFERROR(VLOOKUP($C27,Matches!$A$2:$Q$200,5,FALSE),"Unknown"))</x:f>
      </x:c>
      <x:c r="I27" s="60" t="str">
        <x:f>IF($C27="","",IFERROR(VLOOKUP($C27,Matches!$A$2:$Q$200,16,FALSE),""))</x:f>
      </x:c>
      <x:c r="J27" s="18" t="str">
        <x:f>IF($C27="","",IFERROR(VLOOKUP($C27,Matches!$A$2:$Q$200,11,FALSE),""))</x:f>
      </x:c>
      <x:c r="K27" s="18" t="str">
        <x:f>IF($C27="","",IFERROR(VLOOKUP($C27,Matches!$A$2:$Q$200,12,FALSE),""))</x:f>
      </x:c>
      <x:c r="L27" s="18" t="str">
        <x:f>IF($A27="","",IF($C27=1,"Yes",IF(OR($I27="",$A27&lt;$I27),"Yes","Late")))</x:f>
      </x:c>
      <x:c r="M27" s="66" t="str">
        <x:f>IF($A27="","",IF($L27&lt;&gt;"Yes",0,IF($E27="",0,IF($J27="",0,IF($H27="Group",IF($E27=$J27,Setup!$H$2,Setup!$H$3),IF($E27=$K27,Setup!$H$2,Setup!$H$3))))))</x:f>
      </x:c>
      <x:c r="N27" s="66" t="str">
        <x:f>IF($A27="","",IF($L27&lt;&gt;"Yes",0,IF(OR($F27="",$G27=""),0,IF(AND($F27=VLOOKUP($C27,Matches!$A$2:$Q$200,9,FALSE),$G27=VLOOKUP($C27,Matches!$A$2:$Q$200,10,FALSE)),Setup!$H$5,0))))</x:f>
      </x:c>
      <x:c r="O27" s="66" t="str">
        <x:f>IF($A27="","",$M27+$N27)</x:f>
      </x:c>
      <x:c r="P27" s="18" t="str">
        <x:f>IF($A27="","",IF($L27="Late","Late - 0 points",IF($J27="","Waiting for result",IF($O27&gt;0,"Scored",IF($O27&lt;0,"Wrong pick","No points")))))</x:f>
      </x:c>
    </x:row>
    <x:row r="28">
      <x:c r="A28" s="60" t="n">
        <x:f>'Form Responses 1'!A28</x:f>
        <x:v>0</x:v>
      </x:c>
      <x:c r="B28" s="18" t="n">
        <x:f>'Form Responses 1'!B28</x:f>
        <x:v>0</x:v>
      </x:c>
      <x:c r="C28" s="18" t="n">
        <x:f>'Form Responses 1'!C28</x:f>
        <x:v>0</x:v>
      </x:c>
      <x:c r="D28" s="18" t="n">
        <x:f>'Form Responses 1'!D28</x:f>
        <x:v>0</x:v>
      </x:c>
      <x:c r="E28" s="18" t="n">
        <x:f>'Form Responses 1'!E28</x:f>
        <x:v>0</x:v>
      </x:c>
      <x:c r="F28" s="18" t="n">
        <x:f>'Form Responses 1'!F28</x:f>
        <x:v>0</x:v>
      </x:c>
      <x:c r="G28" s="18" t="n">
        <x:f>'Form Responses 1'!G28</x:f>
        <x:v>0</x:v>
      </x:c>
      <x:c r="H28" s="18" t="str">
        <x:f>IF($C28="","",IFERROR(VLOOKUP($C28,Matches!$A$2:$Q$200,5,FALSE),"Unknown"))</x:f>
      </x:c>
      <x:c r="I28" s="60" t="str">
        <x:f>IF($C28="","",IFERROR(VLOOKUP($C28,Matches!$A$2:$Q$200,16,FALSE),""))</x:f>
      </x:c>
      <x:c r="J28" s="18" t="str">
        <x:f>IF($C28="","",IFERROR(VLOOKUP($C28,Matches!$A$2:$Q$200,11,FALSE),""))</x:f>
      </x:c>
      <x:c r="K28" s="18" t="str">
        <x:f>IF($C28="","",IFERROR(VLOOKUP($C28,Matches!$A$2:$Q$200,12,FALSE),""))</x:f>
      </x:c>
      <x:c r="L28" s="18" t="str">
        <x:f>IF($A28="","",IF($C28=1,"Yes",IF(OR($I28="",$A28&lt;$I28),"Yes","Late")))</x:f>
      </x:c>
      <x:c r="M28" s="66" t="str">
        <x:f>IF($A28="","",IF($L28&lt;&gt;"Yes",0,IF($E28="",0,IF($J28="",0,IF($H28="Group",IF($E28=$J28,Setup!$H$2,Setup!$H$3),IF($E28=$K28,Setup!$H$2,Setup!$H$3))))))</x:f>
      </x:c>
      <x:c r="N28" s="66" t="str">
        <x:f>IF($A28="","",IF($L28&lt;&gt;"Yes",0,IF(OR($F28="",$G28=""),0,IF(AND($F28=VLOOKUP($C28,Matches!$A$2:$Q$200,9,FALSE),$G28=VLOOKUP($C28,Matches!$A$2:$Q$200,10,FALSE)),Setup!$H$5,0))))</x:f>
      </x:c>
      <x:c r="O28" s="66" t="str">
        <x:f>IF($A28="","",$M28+$N28)</x:f>
      </x:c>
      <x:c r="P28" s="18" t="str">
        <x:f>IF($A28="","",IF($L28="Late","Late - 0 points",IF($J28="","Waiting for result",IF($O28&gt;0,"Scored",IF($O28&lt;0,"Wrong pick","No points")))))</x:f>
      </x:c>
    </x:row>
    <x:row r="29">
      <x:c r="A29" s="60" t="n">
        <x:f>'Form Responses 1'!A29</x:f>
        <x:v>0</x:v>
      </x:c>
      <x:c r="B29" s="18" t="n">
        <x:f>'Form Responses 1'!B29</x:f>
        <x:v>0</x:v>
      </x:c>
      <x:c r="C29" s="18" t="n">
        <x:f>'Form Responses 1'!C29</x:f>
        <x:v>0</x:v>
      </x:c>
      <x:c r="D29" s="18" t="n">
        <x:f>'Form Responses 1'!D29</x:f>
        <x:v>0</x:v>
      </x:c>
      <x:c r="E29" s="18" t="n">
        <x:f>'Form Responses 1'!E29</x:f>
        <x:v>0</x:v>
      </x:c>
      <x:c r="F29" s="18" t="n">
        <x:f>'Form Responses 1'!F29</x:f>
        <x:v>0</x:v>
      </x:c>
      <x:c r="G29" s="18" t="n">
        <x:f>'Form Responses 1'!G29</x:f>
        <x:v>0</x:v>
      </x:c>
      <x:c r="H29" s="18" t="str">
        <x:f>IF($C29="","",IFERROR(VLOOKUP($C29,Matches!$A$2:$Q$200,5,FALSE),"Unknown"))</x:f>
      </x:c>
      <x:c r="I29" s="60" t="str">
        <x:f>IF($C29="","",IFERROR(VLOOKUP($C29,Matches!$A$2:$Q$200,16,FALSE),""))</x:f>
      </x:c>
      <x:c r="J29" s="18" t="str">
        <x:f>IF($C29="","",IFERROR(VLOOKUP($C29,Matches!$A$2:$Q$200,11,FALSE),""))</x:f>
      </x:c>
      <x:c r="K29" s="18" t="str">
        <x:f>IF($C29="","",IFERROR(VLOOKUP($C29,Matches!$A$2:$Q$200,12,FALSE),""))</x:f>
      </x:c>
      <x:c r="L29" s="18" t="str">
        <x:f>IF($A29="","",IF($C29=1,"Yes",IF(OR($I29="",$A29&lt;$I29),"Yes","Late")))</x:f>
      </x:c>
      <x:c r="M29" s="66" t="str">
        <x:f>IF($A29="","",IF($L29&lt;&gt;"Yes",0,IF($E29="",0,IF($J29="",0,IF($H29="Group",IF($E29=$J29,Setup!$H$2,Setup!$H$3),IF($E29=$K29,Setup!$H$2,Setup!$H$3))))))</x:f>
      </x:c>
      <x:c r="N29" s="66" t="str">
        <x:f>IF($A29="","",IF($L29&lt;&gt;"Yes",0,IF(OR($F29="",$G29=""),0,IF(AND($F29=VLOOKUP($C29,Matches!$A$2:$Q$200,9,FALSE),$G29=VLOOKUP($C29,Matches!$A$2:$Q$200,10,FALSE)),Setup!$H$5,0))))</x:f>
      </x:c>
      <x:c r="O29" s="66" t="str">
        <x:f>IF($A29="","",$M29+$N29)</x:f>
      </x:c>
      <x:c r="P29" s="18" t="str">
        <x:f>IF($A29="","",IF($L29="Late","Late - 0 points",IF($J29="","Waiting for result",IF($O29&gt;0,"Scored",IF($O29&lt;0,"Wrong pick","No points")))))</x:f>
      </x:c>
    </x:row>
    <x:row r="30">
      <x:c r="A30" s="60" t="n">
        <x:f>'Form Responses 1'!A30</x:f>
        <x:v>0</x:v>
      </x:c>
      <x:c r="B30" s="18" t="n">
        <x:f>'Form Responses 1'!B30</x:f>
        <x:v>0</x:v>
      </x:c>
      <x:c r="C30" s="18" t="n">
        <x:f>'Form Responses 1'!C30</x:f>
        <x:v>0</x:v>
      </x:c>
      <x:c r="D30" s="18" t="n">
        <x:f>'Form Responses 1'!D30</x:f>
        <x:v>0</x:v>
      </x:c>
      <x:c r="E30" s="18" t="n">
        <x:f>'Form Responses 1'!E30</x:f>
        <x:v>0</x:v>
      </x:c>
      <x:c r="F30" s="18" t="n">
        <x:f>'Form Responses 1'!F30</x:f>
        <x:v>0</x:v>
      </x:c>
      <x:c r="G30" s="18" t="n">
        <x:f>'Form Responses 1'!G30</x:f>
        <x:v>0</x:v>
      </x:c>
      <x:c r="H30" s="18" t="str">
        <x:f>IF($C30="","",IFERROR(VLOOKUP($C30,Matches!$A$2:$Q$200,5,FALSE),"Unknown"))</x:f>
      </x:c>
      <x:c r="I30" s="60" t="str">
        <x:f>IF($C30="","",IFERROR(VLOOKUP($C30,Matches!$A$2:$Q$200,16,FALSE),""))</x:f>
      </x:c>
      <x:c r="J30" s="18" t="str">
        <x:f>IF($C30="","",IFERROR(VLOOKUP($C30,Matches!$A$2:$Q$200,11,FALSE),""))</x:f>
      </x:c>
      <x:c r="K30" s="18" t="str">
        <x:f>IF($C30="","",IFERROR(VLOOKUP($C30,Matches!$A$2:$Q$200,12,FALSE),""))</x:f>
      </x:c>
      <x:c r="L30" s="18" t="str">
        <x:f>IF($A30="","",IF($C30=1,"Yes",IF(OR($I30="",$A30&lt;$I30),"Yes","Late")))</x:f>
      </x:c>
      <x:c r="M30" s="66" t="str">
        <x:f>IF($A30="","",IF($L30&lt;&gt;"Yes",0,IF($E30="",0,IF($J30="",0,IF($H30="Group",IF($E30=$J30,Setup!$H$2,Setup!$H$3),IF($E30=$K30,Setup!$H$2,Setup!$H$3))))))</x:f>
      </x:c>
      <x:c r="N30" s="66" t="str">
        <x:f>IF($A30="","",IF($L30&lt;&gt;"Yes",0,IF(OR($F30="",$G30=""),0,IF(AND($F30=VLOOKUP($C30,Matches!$A$2:$Q$200,9,FALSE),$G30=VLOOKUP($C30,Matches!$A$2:$Q$200,10,FALSE)),Setup!$H$5,0))))</x:f>
      </x:c>
      <x:c r="O30" s="66" t="str">
        <x:f>IF($A30="","",$M30+$N30)</x:f>
      </x:c>
      <x:c r="P30" s="18" t="str">
        <x:f>IF($A30="","",IF($L30="Late","Late - 0 points",IF($J30="","Waiting for result",IF($O30&gt;0,"Scored",IF($O30&lt;0,"Wrong pick","No points")))))</x:f>
      </x:c>
    </x:row>
    <x:row r="31">
      <x:c r="A31" s="60" t="n">
        <x:f>'Form Responses 1'!A31</x:f>
        <x:v>0</x:v>
      </x:c>
      <x:c r="B31" s="18" t="n">
        <x:f>'Form Responses 1'!B31</x:f>
        <x:v>0</x:v>
      </x:c>
      <x:c r="C31" s="18" t="n">
        <x:f>'Form Responses 1'!C31</x:f>
        <x:v>0</x:v>
      </x:c>
      <x:c r="D31" s="18" t="n">
        <x:f>'Form Responses 1'!D31</x:f>
        <x:v>0</x:v>
      </x:c>
      <x:c r="E31" s="18" t="n">
        <x:f>'Form Responses 1'!E31</x:f>
        <x:v>0</x:v>
      </x:c>
      <x:c r="F31" s="18" t="n">
        <x:f>'Form Responses 1'!F31</x:f>
        <x:v>0</x:v>
      </x:c>
      <x:c r="G31" s="18" t="n">
        <x:f>'Form Responses 1'!G31</x:f>
        <x:v>0</x:v>
      </x:c>
      <x:c r="H31" s="18" t="str">
        <x:f>IF($C31="","",IFERROR(VLOOKUP($C31,Matches!$A$2:$Q$200,5,FALSE),"Unknown"))</x:f>
      </x:c>
      <x:c r="I31" s="60" t="str">
        <x:f>IF($C31="","",IFERROR(VLOOKUP($C31,Matches!$A$2:$Q$200,16,FALSE),""))</x:f>
      </x:c>
      <x:c r="J31" s="18" t="str">
        <x:f>IF($C31="","",IFERROR(VLOOKUP($C31,Matches!$A$2:$Q$200,11,FALSE),""))</x:f>
      </x:c>
      <x:c r="K31" s="18" t="str">
        <x:f>IF($C31="","",IFERROR(VLOOKUP($C31,Matches!$A$2:$Q$200,12,FALSE),""))</x:f>
      </x:c>
      <x:c r="L31" s="18" t="str">
        <x:f>IF($A31="","",IF($C31=1,"Yes",IF(OR($I31="",$A31&lt;$I31),"Yes","Late")))</x:f>
      </x:c>
      <x:c r="M31" s="66" t="str">
        <x:f>IF($A31="","",IF($L31&lt;&gt;"Yes",0,IF($E31="",0,IF($J31="",0,IF($H31="Group",IF($E31=$J31,Setup!$H$2,Setup!$H$3),IF($E31=$K31,Setup!$H$2,Setup!$H$3))))))</x:f>
      </x:c>
      <x:c r="N31" s="66" t="str">
        <x:f>IF($A31="","",IF($L31&lt;&gt;"Yes",0,IF(OR($F31="",$G31=""),0,IF(AND($F31=VLOOKUP($C31,Matches!$A$2:$Q$200,9,FALSE),$G31=VLOOKUP($C31,Matches!$A$2:$Q$200,10,FALSE)),Setup!$H$5,0))))</x:f>
      </x:c>
      <x:c r="O31" s="66" t="str">
        <x:f>IF($A31="","",$M31+$N31)</x:f>
      </x:c>
      <x:c r="P31" s="18" t="str">
        <x:f>IF($A31="","",IF($L31="Late","Late - 0 points",IF($J31="","Waiting for result",IF($O31&gt;0,"Scored",IF($O31&lt;0,"Wrong pick","No points")))))</x:f>
      </x:c>
    </x:row>
    <x:row r="32">
      <x:c r="A32" s="60" t="n">
        <x:f>'Form Responses 1'!A32</x:f>
        <x:v>0</x:v>
      </x:c>
      <x:c r="B32" s="18" t="n">
        <x:f>'Form Responses 1'!B32</x:f>
        <x:v>0</x:v>
      </x:c>
      <x:c r="C32" s="18" t="n">
        <x:f>'Form Responses 1'!C32</x:f>
        <x:v>0</x:v>
      </x:c>
      <x:c r="D32" s="18" t="n">
        <x:f>'Form Responses 1'!D32</x:f>
        <x:v>0</x:v>
      </x:c>
      <x:c r="E32" s="18" t="n">
        <x:f>'Form Responses 1'!E32</x:f>
        <x:v>0</x:v>
      </x:c>
      <x:c r="F32" s="18" t="n">
        <x:f>'Form Responses 1'!F32</x:f>
        <x:v>0</x:v>
      </x:c>
      <x:c r="G32" s="18" t="n">
        <x:f>'Form Responses 1'!G32</x:f>
        <x:v>0</x:v>
      </x:c>
      <x:c r="H32" s="18" t="str">
        <x:f>IF($C32="","",IFERROR(VLOOKUP($C32,Matches!$A$2:$Q$200,5,FALSE),"Unknown"))</x:f>
      </x:c>
      <x:c r="I32" s="60" t="str">
        <x:f>IF($C32="","",IFERROR(VLOOKUP($C32,Matches!$A$2:$Q$200,16,FALSE),""))</x:f>
      </x:c>
      <x:c r="J32" s="18" t="str">
        <x:f>IF($C32="","",IFERROR(VLOOKUP($C32,Matches!$A$2:$Q$200,11,FALSE),""))</x:f>
      </x:c>
      <x:c r="K32" s="18" t="str">
        <x:f>IF($C32="","",IFERROR(VLOOKUP($C32,Matches!$A$2:$Q$200,12,FALSE),""))</x:f>
      </x:c>
      <x:c r="L32" s="18" t="str">
        <x:f>IF($A32="","",IF($C32=1,"Yes",IF(OR($I32="",$A32&lt;$I32),"Yes","Late")))</x:f>
      </x:c>
      <x:c r="M32" s="66" t="str">
        <x:f>IF($A32="","",IF($L32&lt;&gt;"Yes",0,IF($E32="",0,IF($J32="",0,IF($H32="Group",IF($E32=$J32,Setup!$H$2,Setup!$H$3),IF($E32=$K32,Setup!$H$2,Setup!$H$3))))))</x:f>
      </x:c>
      <x:c r="N32" s="66" t="str">
        <x:f>IF($A32="","",IF($L32&lt;&gt;"Yes",0,IF(OR($F32="",$G32=""),0,IF(AND($F32=VLOOKUP($C32,Matches!$A$2:$Q$200,9,FALSE),$G32=VLOOKUP($C32,Matches!$A$2:$Q$200,10,FALSE)),Setup!$H$5,0))))</x:f>
      </x:c>
      <x:c r="O32" s="66" t="str">
        <x:f>IF($A32="","",$M32+$N32)</x:f>
      </x:c>
      <x:c r="P32" s="18" t="str">
        <x:f>IF($A32="","",IF($L32="Late","Late - 0 points",IF($J32="","Waiting for result",IF($O32&gt;0,"Scored",IF($O32&lt;0,"Wrong pick","No points")))))</x:f>
      </x:c>
    </x:row>
    <x:row r="33">
      <x:c r="A33" s="60" t="n">
        <x:f>'Form Responses 1'!A33</x:f>
        <x:v>0</x:v>
      </x:c>
      <x:c r="B33" s="18" t="n">
        <x:f>'Form Responses 1'!B33</x:f>
        <x:v>0</x:v>
      </x:c>
      <x:c r="C33" s="18" t="n">
        <x:f>'Form Responses 1'!C33</x:f>
        <x:v>0</x:v>
      </x:c>
      <x:c r="D33" s="18" t="n">
        <x:f>'Form Responses 1'!D33</x:f>
        <x:v>0</x:v>
      </x:c>
      <x:c r="E33" s="18" t="n">
        <x:f>'Form Responses 1'!E33</x:f>
        <x:v>0</x:v>
      </x:c>
      <x:c r="F33" s="18" t="n">
        <x:f>'Form Responses 1'!F33</x:f>
        <x:v>0</x:v>
      </x:c>
      <x:c r="G33" s="18" t="n">
        <x:f>'Form Responses 1'!G33</x:f>
        <x:v>0</x:v>
      </x:c>
      <x:c r="H33" s="18" t="str">
        <x:f>IF($C33="","",IFERROR(VLOOKUP($C33,Matches!$A$2:$Q$200,5,FALSE),"Unknown"))</x:f>
      </x:c>
      <x:c r="I33" s="60" t="str">
        <x:f>IF($C33="","",IFERROR(VLOOKUP($C33,Matches!$A$2:$Q$200,16,FALSE),""))</x:f>
      </x:c>
      <x:c r="J33" s="18" t="str">
        <x:f>IF($C33="","",IFERROR(VLOOKUP($C33,Matches!$A$2:$Q$200,11,FALSE),""))</x:f>
      </x:c>
      <x:c r="K33" s="18" t="str">
        <x:f>IF($C33="","",IFERROR(VLOOKUP($C33,Matches!$A$2:$Q$200,12,FALSE),""))</x:f>
      </x:c>
      <x:c r="L33" s="18" t="str">
        <x:f>IF($A33="","",IF($C33=1,"Yes",IF(OR($I33="",$A33&lt;$I33),"Yes","Late")))</x:f>
      </x:c>
      <x:c r="M33" s="66" t="str">
        <x:f>IF($A33="","",IF($L33&lt;&gt;"Yes",0,IF($E33="",0,IF($J33="",0,IF($H33="Group",IF($E33=$J33,Setup!$H$2,Setup!$H$3),IF($E33=$K33,Setup!$H$2,Setup!$H$3))))))</x:f>
      </x:c>
      <x:c r="N33" s="66" t="str">
        <x:f>IF($A33="","",IF($L33&lt;&gt;"Yes",0,IF(OR($F33="",$G33=""),0,IF(AND($F33=VLOOKUP($C33,Matches!$A$2:$Q$200,9,FALSE),$G33=VLOOKUP($C33,Matches!$A$2:$Q$200,10,FALSE)),Setup!$H$5,0))))</x:f>
      </x:c>
      <x:c r="O33" s="66" t="str">
        <x:f>IF($A33="","",$M33+$N33)</x:f>
      </x:c>
      <x:c r="P33" s="18" t="str">
        <x:f>IF($A33="","",IF($L33="Late","Late - 0 points",IF($J33="","Waiting for result",IF($O33&gt;0,"Scored",IF($O33&lt;0,"Wrong pick","No points")))))</x:f>
      </x:c>
    </x:row>
    <x:row r="34">
      <x:c r="A34" s="60" t="n">
        <x:f>'Form Responses 1'!A34</x:f>
        <x:v>0</x:v>
      </x:c>
      <x:c r="B34" s="18" t="n">
        <x:f>'Form Responses 1'!B34</x:f>
        <x:v>0</x:v>
      </x:c>
      <x:c r="C34" s="18" t="n">
        <x:f>'Form Responses 1'!C34</x:f>
        <x:v>0</x:v>
      </x:c>
      <x:c r="D34" s="18" t="n">
        <x:f>'Form Responses 1'!D34</x:f>
        <x:v>0</x:v>
      </x:c>
      <x:c r="E34" s="18" t="n">
        <x:f>'Form Responses 1'!E34</x:f>
        <x:v>0</x:v>
      </x:c>
      <x:c r="F34" s="18" t="n">
        <x:f>'Form Responses 1'!F34</x:f>
        <x:v>0</x:v>
      </x:c>
      <x:c r="G34" s="18" t="n">
        <x:f>'Form Responses 1'!G34</x:f>
        <x:v>0</x:v>
      </x:c>
      <x:c r="H34" s="18" t="str">
        <x:f>IF($C34="","",IFERROR(VLOOKUP($C34,Matches!$A$2:$Q$200,5,FALSE),"Unknown"))</x:f>
      </x:c>
      <x:c r="I34" s="60" t="str">
        <x:f>IF($C34="","",IFERROR(VLOOKUP($C34,Matches!$A$2:$Q$200,16,FALSE),""))</x:f>
      </x:c>
      <x:c r="J34" s="18" t="str">
        <x:f>IF($C34="","",IFERROR(VLOOKUP($C34,Matches!$A$2:$Q$200,11,FALSE),""))</x:f>
      </x:c>
      <x:c r="K34" s="18" t="str">
        <x:f>IF($C34="","",IFERROR(VLOOKUP($C34,Matches!$A$2:$Q$200,12,FALSE),""))</x:f>
      </x:c>
      <x:c r="L34" s="18" t="str">
        <x:f>IF($A34="","",IF($C34=1,"Yes",IF(OR($I34="",$A34&lt;$I34),"Yes","Late")))</x:f>
      </x:c>
      <x:c r="M34" s="66" t="str">
        <x:f>IF($A34="","",IF($L34&lt;&gt;"Yes",0,IF($E34="",0,IF($J34="",0,IF($H34="Group",IF($E34=$J34,Setup!$H$2,Setup!$H$3),IF($E34=$K34,Setup!$H$2,Setup!$H$3))))))</x:f>
      </x:c>
      <x:c r="N34" s="66" t="str">
        <x:f>IF($A34="","",IF($L34&lt;&gt;"Yes",0,IF(OR($F34="",$G34=""),0,IF(AND($F34=VLOOKUP($C34,Matches!$A$2:$Q$200,9,FALSE),$G34=VLOOKUP($C34,Matches!$A$2:$Q$200,10,FALSE)),Setup!$H$5,0))))</x:f>
      </x:c>
      <x:c r="O34" s="66" t="str">
        <x:f>IF($A34="","",$M34+$N34)</x:f>
      </x:c>
      <x:c r="P34" s="18" t="str">
        <x:f>IF($A34="","",IF($L34="Late","Late - 0 points",IF($J34="","Waiting for result",IF($O34&gt;0,"Scored",IF($O34&lt;0,"Wrong pick","No points")))))</x:f>
      </x:c>
    </x:row>
    <x:row r="35">
      <x:c r="A35" s="60" t="n">
        <x:f>'Form Responses 1'!A35</x:f>
        <x:v>0</x:v>
      </x:c>
      <x:c r="B35" s="18" t="n">
        <x:f>'Form Responses 1'!B35</x:f>
        <x:v>0</x:v>
      </x:c>
      <x:c r="C35" s="18" t="n">
        <x:f>'Form Responses 1'!C35</x:f>
        <x:v>0</x:v>
      </x:c>
      <x:c r="D35" s="18" t="n">
        <x:f>'Form Responses 1'!D35</x:f>
        <x:v>0</x:v>
      </x:c>
      <x:c r="E35" s="18" t="n">
        <x:f>'Form Responses 1'!E35</x:f>
        <x:v>0</x:v>
      </x:c>
      <x:c r="F35" s="18" t="n">
        <x:f>'Form Responses 1'!F35</x:f>
        <x:v>0</x:v>
      </x:c>
      <x:c r="G35" s="18" t="n">
        <x:f>'Form Responses 1'!G35</x:f>
        <x:v>0</x:v>
      </x:c>
      <x:c r="H35" s="18" t="str">
        <x:f>IF($C35="","",IFERROR(VLOOKUP($C35,Matches!$A$2:$Q$200,5,FALSE),"Unknown"))</x:f>
      </x:c>
      <x:c r="I35" s="60" t="str">
        <x:f>IF($C35="","",IFERROR(VLOOKUP($C35,Matches!$A$2:$Q$200,16,FALSE),""))</x:f>
      </x:c>
      <x:c r="J35" s="18" t="str">
        <x:f>IF($C35="","",IFERROR(VLOOKUP($C35,Matches!$A$2:$Q$200,11,FALSE),""))</x:f>
      </x:c>
      <x:c r="K35" s="18" t="str">
        <x:f>IF($C35="","",IFERROR(VLOOKUP($C35,Matches!$A$2:$Q$200,12,FALSE),""))</x:f>
      </x:c>
      <x:c r="L35" s="18" t="str">
        <x:f>IF($A35="","",IF($C35=1,"Yes",IF(OR($I35="",$A35&lt;$I35),"Yes","Late")))</x:f>
      </x:c>
      <x:c r="M35" s="66" t="str">
        <x:f>IF($A35="","",IF($L35&lt;&gt;"Yes",0,IF($E35="",0,IF($J35="",0,IF($H35="Group",IF($E35=$J35,Setup!$H$2,Setup!$H$3),IF($E35=$K35,Setup!$H$2,Setup!$H$3))))))</x:f>
      </x:c>
      <x:c r="N35" s="66" t="str">
        <x:f>IF($A35="","",IF($L35&lt;&gt;"Yes",0,IF(OR($F35="",$G35=""),0,IF(AND($F35=VLOOKUP($C35,Matches!$A$2:$Q$200,9,FALSE),$G35=VLOOKUP($C35,Matches!$A$2:$Q$200,10,FALSE)),Setup!$H$5,0))))</x:f>
      </x:c>
      <x:c r="O35" s="66" t="str">
        <x:f>IF($A35="","",$M35+$N35)</x:f>
      </x:c>
      <x:c r="P35" s="18" t="str">
        <x:f>IF($A35="","",IF($L35="Late","Late - 0 points",IF($J35="","Waiting for result",IF($O35&gt;0,"Scored",IF($O35&lt;0,"Wrong pick","No points")))))</x:f>
      </x:c>
    </x:row>
    <x:row r="36">
      <x:c r="A36" s="60" t="n">
        <x:f>'Form Responses 1'!A36</x:f>
        <x:v>0</x:v>
      </x:c>
      <x:c r="B36" s="18" t="n">
        <x:f>'Form Responses 1'!B36</x:f>
        <x:v>0</x:v>
      </x:c>
      <x:c r="C36" s="18" t="n">
        <x:f>'Form Responses 1'!C36</x:f>
        <x:v>0</x:v>
      </x:c>
      <x:c r="D36" s="18" t="n">
        <x:f>'Form Responses 1'!D36</x:f>
        <x:v>0</x:v>
      </x:c>
      <x:c r="E36" s="18" t="n">
        <x:f>'Form Responses 1'!E36</x:f>
        <x:v>0</x:v>
      </x:c>
      <x:c r="F36" s="18" t="n">
        <x:f>'Form Responses 1'!F36</x:f>
        <x:v>0</x:v>
      </x:c>
      <x:c r="G36" s="18" t="n">
        <x:f>'Form Responses 1'!G36</x:f>
        <x:v>0</x:v>
      </x:c>
      <x:c r="H36" s="18" t="str">
        <x:f>IF($C36="","",IFERROR(VLOOKUP($C36,Matches!$A$2:$Q$200,5,FALSE),"Unknown"))</x:f>
      </x:c>
      <x:c r="I36" s="60" t="str">
        <x:f>IF($C36="","",IFERROR(VLOOKUP($C36,Matches!$A$2:$Q$200,16,FALSE),""))</x:f>
      </x:c>
      <x:c r="J36" s="18" t="str">
        <x:f>IF($C36="","",IFERROR(VLOOKUP($C36,Matches!$A$2:$Q$200,11,FALSE),""))</x:f>
      </x:c>
      <x:c r="K36" s="18" t="str">
        <x:f>IF($C36="","",IFERROR(VLOOKUP($C36,Matches!$A$2:$Q$200,12,FALSE),""))</x:f>
      </x:c>
      <x:c r="L36" s="18" t="str">
        <x:f>IF($A36="","",IF($C36=1,"Yes",IF(OR($I36="",$A36&lt;$I36),"Yes","Late")))</x:f>
      </x:c>
      <x:c r="M36" s="66" t="str">
        <x:f>IF($A36="","",IF($L36&lt;&gt;"Yes",0,IF($E36="",0,IF($J36="",0,IF($H36="Group",IF($E36=$J36,Setup!$H$2,Setup!$H$3),IF($E36=$K36,Setup!$H$2,Setup!$H$3))))))</x:f>
      </x:c>
      <x:c r="N36" s="66" t="str">
        <x:f>IF($A36="","",IF($L36&lt;&gt;"Yes",0,IF(OR($F36="",$G36=""),0,IF(AND($F36=VLOOKUP($C36,Matches!$A$2:$Q$200,9,FALSE),$G36=VLOOKUP($C36,Matches!$A$2:$Q$200,10,FALSE)),Setup!$H$5,0))))</x:f>
      </x:c>
      <x:c r="O36" s="66" t="str">
        <x:f>IF($A36="","",$M36+$N36)</x:f>
      </x:c>
      <x:c r="P36" s="18" t="str">
        <x:f>IF($A36="","",IF($L36="Late","Late - 0 points",IF($J36="","Waiting for result",IF($O36&gt;0,"Scored",IF($O36&lt;0,"Wrong pick","No points")))))</x:f>
      </x:c>
    </x:row>
    <x:row r="37">
      <x:c r="A37" s="60" t="n">
        <x:f>'Form Responses 1'!A37</x:f>
        <x:v>0</x:v>
      </x:c>
      <x:c r="B37" s="18" t="n">
        <x:f>'Form Responses 1'!B37</x:f>
        <x:v>0</x:v>
      </x:c>
      <x:c r="C37" s="18" t="n">
        <x:f>'Form Responses 1'!C37</x:f>
        <x:v>0</x:v>
      </x:c>
      <x:c r="D37" s="18" t="n">
        <x:f>'Form Responses 1'!D37</x:f>
        <x:v>0</x:v>
      </x:c>
      <x:c r="E37" s="18" t="n">
        <x:f>'Form Responses 1'!E37</x:f>
        <x:v>0</x:v>
      </x:c>
      <x:c r="F37" s="18" t="n">
        <x:f>'Form Responses 1'!F37</x:f>
        <x:v>0</x:v>
      </x:c>
      <x:c r="G37" s="18" t="n">
        <x:f>'Form Responses 1'!G37</x:f>
        <x:v>0</x:v>
      </x:c>
      <x:c r="H37" s="18" t="str">
        <x:f>IF($C37="","",IFERROR(VLOOKUP($C37,Matches!$A$2:$Q$200,5,FALSE),"Unknown"))</x:f>
      </x:c>
      <x:c r="I37" s="60" t="str">
        <x:f>IF($C37="","",IFERROR(VLOOKUP($C37,Matches!$A$2:$Q$200,16,FALSE),""))</x:f>
      </x:c>
      <x:c r="J37" s="18" t="str">
        <x:f>IF($C37="","",IFERROR(VLOOKUP($C37,Matches!$A$2:$Q$200,11,FALSE),""))</x:f>
      </x:c>
      <x:c r="K37" s="18" t="str">
        <x:f>IF($C37="","",IFERROR(VLOOKUP($C37,Matches!$A$2:$Q$200,12,FALSE),""))</x:f>
      </x:c>
      <x:c r="L37" s="18" t="str">
        <x:f>IF($A37="","",IF($C37=1,"Yes",IF(OR($I37="",$A37&lt;$I37),"Yes","Late")))</x:f>
      </x:c>
      <x:c r="M37" s="66" t="str">
        <x:f>IF($A37="","",IF($L37&lt;&gt;"Yes",0,IF($E37="",0,IF($J37="",0,IF($H37="Group",IF($E37=$J37,Setup!$H$2,Setup!$H$3),IF($E37=$K37,Setup!$H$2,Setup!$H$3))))))</x:f>
      </x:c>
      <x:c r="N37" s="66" t="str">
        <x:f>IF($A37="","",IF($L37&lt;&gt;"Yes",0,IF(OR($F37="",$G37=""),0,IF(AND($F37=VLOOKUP($C37,Matches!$A$2:$Q$200,9,FALSE),$G37=VLOOKUP($C37,Matches!$A$2:$Q$200,10,FALSE)),Setup!$H$5,0))))</x:f>
      </x:c>
      <x:c r="O37" s="66" t="str">
        <x:f>IF($A37="","",$M37+$N37)</x:f>
      </x:c>
      <x:c r="P37" s="18" t="str">
        <x:f>IF($A37="","",IF($L37="Late","Late - 0 points",IF($J37="","Waiting for result",IF($O37&gt;0,"Scored",IF($O37&lt;0,"Wrong pick","No points")))))</x:f>
      </x:c>
    </x:row>
    <x:row r="38">
      <x:c r="A38" s="60" t="n">
        <x:f>'Form Responses 1'!A38</x:f>
        <x:v>0</x:v>
      </x:c>
      <x:c r="B38" s="18" t="n">
        <x:f>'Form Responses 1'!B38</x:f>
        <x:v>0</x:v>
      </x:c>
      <x:c r="C38" s="18" t="n">
        <x:f>'Form Responses 1'!C38</x:f>
        <x:v>0</x:v>
      </x:c>
      <x:c r="D38" s="18" t="n">
        <x:f>'Form Responses 1'!D38</x:f>
        <x:v>0</x:v>
      </x:c>
      <x:c r="E38" s="18" t="n">
        <x:f>'Form Responses 1'!E38</x:f>
        <x:v>0</x:v>
      </x:c>
      <x:c r="F38" s="18" t="n">
        <x:f>'Form Responses 1'!F38</x:f>
        <x:v>0</x:v>
      </x:c>
      <x:c r="G38" s="18" t="n">
        <x:f>'Form Responses 1'!G38</x:f>
        <x:v>0</x:v>
      </x:c>
      <x:c r="H38" s="18" t="str">
        <x:f>IF($C38="","",IFERROR(VLOOKUP($C38,Matches!$A$2:$Q$200,5,FALSE),"Unknown"))</x:f>
      </x:c>
      <x:c r="I38" s="60" t="str">
        <x:f>IF($C38="","",IFERROR(VLOOKUP($C38,Matches!$A$2:$Q$200,16,FALSE),""))</x:f>
      </x:c>
      <x:c r="J38" s="18" t="str">
        <x:f>IF($C38="","",IFERROR(VLOOKUP($C38,Matches!$A$2:$Q$200,11,FALSE),""))</x:f>
      </x:c>
      <x:c r="K38" s="18" t="str">
        <x:f>IF($C38="","",IFERROR(VLOOKUP($C38,Matches!$A$2:$Q$200,12,FALSE),""))</x:f>
      </x:c>
      <x:c r="L38" s="18" t="str">
        <x:f>IF($A38="","",IF($C38=1,"Yes",IF(OR($I38="",$A38&lt;$I38),"Yes","Late")))</x:f>
      </x:c>
      <x:c r="M38" s="66" t="str">
        <x:f>IF($A38="","",IF($L38&lt;&gt;"Yes",0,IF($E38="",0,IF($J38="",0,IF($H38="Group",IF($E38=$J38,Setup!$H$2,Setup!$H$3),IF($E38=$K38,Setup!$H$2,Setup!$H$3))))))</x:f>
      </x:c>
      <x:c r="N38" s="66" t="str">
        <x:f>IF($A38="","",IF($L38&lt;&gt;"Yes",0,IF(OR($F38="",$G38=""),0,IF(AND($F38=VLOOKUP($C38,Matches!$A$2:$Q$200,9,FALSE),$G38=VLOOKUP($C38,Matches!$A$2:$Q$200,10,FALSE)),Setup!$H$5,0))))</x:f>
      </x:c>
      <x:c r="O38" s="66" t="str">
        <x:f>IF($A38="","",$M38+$N38)</x:f>
      </x:c>
      <x:c r="P38" s="18" t="str">
        <x:f>IF($A38="","",IF($L38="Late","Late - 0 points",IF($J38="","Waiting for result",IF($O38&gt;0,"Scored",IF($O38&lt;0,"Wrong pick","No points")))))</x:f>
      </x:c>
    </x:row>
    <x:row r="39">
      <x:c r="A39" s="60" t="n">
        <x:f>'Form Responses 1'!A39</x:f>
        <x:v>0</x:v>
      </x:c>
      <x:c r="B39" s="18" t="n">
        <x:f>'Form Responses 1'!B39</x:f>
        <x:v>0</x:v>
      </x:c>
      <x:c r="C39" s="18" t="n">
        <x:f>'Form Responses 1'!C39</x:f>
        <x:v>0</x:v>
      </x:c>
      <x:c r="D39" s="18" t="n">
        <x:f>'Form Responses 1'!D39</x:f>
        <x:v>0</x:v>
      </x:c>
      <x:c r="E39" s="18" t="n">
        <x:f>'Form Responses 1'!E39</x:f>
        <x:v>0</x:v>
      </x:c>
      <x:c r="F39" s="18" t="n">
        <x:f>'Form Responses 1'!F39</x:f>
        <x:v>0</x:v>
      </x:c>
      <x:c r="G39" s="18" t="n">
        <x:f>'Form Responses 1'!G39</x:f>
        <x:v>0</x:v>
      </x:c>
      <x:c r="H39" s="18" t="str">
        <x:f>IF($C39="","",IFERROR(VLOOKUP($C39,Matches!$A$2:$Q$200,5,FALSE),"Unknown"))</x:f>
      </x:c>
      <x:c r="I39" s="60" t="str">
        <x:f>IF($C39="","",IFERROR(VLOOKUP($C39,Matches!$A$2:$Q$200,16,FALSE),""))</x:f>
      </x:c>
      <x:c r="J39" s="18" t="str">
        <x:f>IF($C39="","",IFERROR(VLOOKUP($C39,Matches!$A$2:$Q$200,11,FALSE),""))</x:f>
      </x:c>
      <x:c r="K39" s="18" t="str">
        <x:f>IF($C39="","",IFERROR(VLOOKUP($C39,Matches!$A$2:$Q$200,12,FALSE),""))</x:f>
      </x:c>
      <x:c r="L39" s="18" t="str">
        <x:f>IF($A39="","",IF($C39=1,"Yes",IF(OR($I39="",$A39&lt;$I39),"Yes","Late")))</x:f>
      </x:c>
      <x:c r="M39" s="66" t="str">
        <x:f>IF($A39="","",IF($L39&lt;&gt;"Yes",0,IF($E39="",0,IF($J39="",0,IF($H39="Group",IF($E39=$J39,Setup!$H$2,Setup!$H$3),IF($E39=$K39,Setup!$H$2,Setup!$H$3))))))</x:f>
      </x:c>
      <x:c r="N39" s="66" t="str">
        <x:f>IF($A39="","",IF($L39&lt;&gt;"Yes",0,IF(OR($F39="",$G39=""),0,IF(AND($F39=VLOOKUP($C39,Matches!$A$2:$Q$200,9,FALSE),$G39=VLOOKUP($C39,Matches!$A$2:$Q$200,10,FALSE)),Setup!$H$5,0))))</x:f>
      </x:c>
      <x:c r="O39" s="66" t="str">
        <x:f>IF($A39="","",$M39+$N39)</x:f>
      </x:c>
      <x:c r="P39" s="18" t="str">
        <x:f>IF($A39="","",IF($L39="Late","Late - 0 points",IF($J39="","Waiting for result",IF($O39&gt;0,"Scored",IF($O39&lt;0,"Wrong pick","No points")))))</x:f>
      </x:c>
    </x:row>
    <x:row r="40">
      <x:c r="A40" s="60" t="n">
        <x:f>'Form Responses 1'!A40</x:f>
        <x:v>0</x:v>
      </x:c>
      <x:c r="B40" s="18" t="n">
        <x:f>'Form Responses 1'!B40</x:f>
        <x:v>0</x:v>
      </x:c>
      <x:c r="C40" s="18" t="n">
        <x:f>'Form Responses 1'!C40</x:f>
        <x:v>0</x:v>
      </x:c>
      <x:c r="D40" s="18" t="n">
        <x:f>'Form Responses 1'!D40</x:f>
        <x:v>0</x:v>
      </x:c>
      <x:c r="E40" s="18" t="n">
        <x:f>'Form Responses 1'!E40</x:f>
        <x:v>0</x:v>
      </x:c>
      <x:c r="F40" s="18" t="n">
        <x:f>'Form Responses 1'!F40</x:f>
        <x:v>0</x:v>
      </x:c>
      <x:c r="G40" s="18" t="n">
        <x:f>'Form Responses 1'!G40</x:f>
        <x:v>0</x:v>
      </x:c>
      <x:c r="H40" s="18" t="str">
        <x:f>IF($C40="","",IFERROR(VLOOKUP($C40,Matches!$A$2:$Q$200,5,FALSE),"Unknown"))</x:f>
      </x:c>
      <x:c r="I40" s="60" t="str">
        <x:f>IF($C40="","",IFERROR(VLOOKUP($C40,Matches!$A$2:$Q$200,16,FALSE),""))</x:f>
      </x:c>
      <x:c r="J40" s="18" t="str">
        <x:f>IF($C40="","",IFERROR(VLOOKUP($C40,Matches!$A$2:$Q$200,11,FALSE),""))</x:f>
      </x:c>
      <x:c r="K40" s="18" t="str">
        <x:f>IF($C40="","",IFERROR(VLOOKUP($C40,Matches!$A$2:$Q$200,12,FALSE),""))</x:f>
      </x:c>
      <x:c r="L40" s="18" t="str">
        <x:f>IF($A40="","",IF($C40=1,"Yes",IF(OR($I40="",$A40&lt;$I40),"Yes","Late")))</x:f>
      </x:c>
      <x:c r="M40" s="66" t="str">
        <x:f>IF($A40="","",IF($L40&lt;&gt;"Yes",0,IF($E40="",0,IF($J40="",0,IF($H40="Group",IF($E40=$J40,Setup!$H$2,Setup!$H$3),IF($E40=$K40,Setup!$H$2,Setup!$H$3))))))</x:f>
      </x:c>
      <x:c r="N40" s="66" t="str">
        <x:f>IF($A40="","",IF($L40&lt;&gt;"Yes",0,IF(OR($F40="",$G40=""),0,IF(AND($F40=VLOOKUP($C40,Matches!$A$2:$Q$200,9,FALSE),$G40=VLOOKUP($C40,Matches!$A$2:$Q$200,10,FALSE)),Setup!$H$5,0))))</x:f>
      </x:c>
      <x:c r="O40" s="66" t="str">
        <x:f>IF($A40="","",$M40+$N40)</x:f>
      </x:c>
      <x:c r="P40" s="18" t="str">
        <x:f>IF($A40="","",IF($L40="Late","Late - 0 points",IF($J40="","Waiting for result",IF($O40&gt;0,"Scored",IF($O40&lt;0,"Wrong pick","No points")))))</x:f>
      </x:c>
    </x:row>
    <x:row r="41">
      <x:c r="A41" s="60" t="n">
        <x:f>'Form Responses 1'!A41</x:f>
        <x:v>0</x:v>
      </x:c>
      <x:c r="B41" s="18" t="n">
        <x:f>'Form Responses 1'!B41</x:f>
        <x:v>0</x:v>
      </x:c>
      <x:c r="C41" s="18" t="n">
        <x:f>'Form Responses 1'!C41</x:f>
        <x:v>0</x:v>
      </x:c>
      <x:c r="D41" s="18" t="n">
        <x:f>'Form Responses 1'!D41</x:f>
        <x:v>0</x:v>
      </x:c>
      <x:c r="E41" s="18" t="n">
        <x:f>'Form Responses 1'!E41</x:f>
        <x:v>0</x:v>
      </x:c>
      <x:c r="F41" s="18" t="n">
        <x:f>'Form Responses 1'!F41</x:f>
        <x:v>0</x:v>
      </x:c>
      <x:c r="G41" s="18" t="n">
        <x:f>'Form Responses 1'!G41</x:f>
        <x:v>0</x:v>
      </x:c>
      <x:c r="H41" s="18" t="str">
        <x:f>IF($C41="","",IFERROR(VLOOKUP($C41,Matches!$A$2:$Q$200,5,FALSE),"Unknown"))</x:f>
      </x:c>
      <x:c r="I41" s="60" t="str">
        <x:f>IF($C41="","",IFERROR(VLOOKUP($C41,Matches!$A$2:$Q$200,16,FALSE),""))</x:f>
      </x:c>
      <x:c r="J41" s="18" t="str">
        <x:f>IF($C41="","",IFERROR(VLOOKUP($C41,Matches!$A$2:$Q$200,11,FALSE),""))</x:f>
      </x:c>
      <x:c r="K41" s="18" t="str">
        <x:f>IF($C41="","",IFERROR(VLOOKUP($C41,Matches!$A$2:$Q$200,12,FALSE),""))</x:f>
      </x:c>
      <x:c r="L41" s="18" t="str">
        <x:f>IF($A41="","",IF($C41=1,"Yes",IF(OR($I41="",$A41&lt;$I41),"Yes","Late")))</x:f>
      </x:c>
      <x:c r="M41" s="66" t="str">
        <x:f>IF($A41="","",IF($L41&lt;&gt;"Yes",0,IF($E41="",0,IF($J41="",0,IF($H41="Group",IF($E41=$J41,Setup!$H$2,Setup!$H$3),IF($E41=$K41,Setup!$H$2,Setup!$H$3))))))</x:f>
      </x:c>
      <x:c r="N41" s="66" t="str">
        <x:f>IF($A41="","",IF($L41&lt;&gt;"Yes",0,IF(OR($F41="",$G41=""),0,IF(AND($F41=VLOOKUP($C41,Matches!$A$2:$Q$200,9,FALSE),$G41=VLOOKUP($C41,Matches!$A$2:$Q$200,10,FALSE)),Setup!$H$5,0))))</x:f>
      </x:c>
      <x:c r="O41" s="66" t="str">
        <x:f>IF($A41="","",$M41+$N41)</x:f>
      </x:c>
      <x:c r="P41" s="18" t="str">
        <x:f>IF($A41="","",IF($L41="Late","Late - 0 points",IF($J41="","Waiting for result",IF($O41&gt;0,"Scored",IF($O41&lt;0,"Wrong pick","No points")))))</x:f>
      </x:c>
    </x:row>
    <x:row r="42">
      <x:c r="A42" s="60" t="n">
        <x:f>'Form Responses 1'!A42</x:f>
        <x:v>0</x:v>
      </x:c>
      <x:c r="B42" s="18" t="n">
        <x:f>'Form Responses 1'!B42</x:f>
        <x:v>0</x:v>
      </x:c>
      <x:c r="C42" s="18" t="n">
        <x:f>'Form Responses 1'!C42</x:f>
        <x:v>0</x:v>
      </x:c>
      <x:c r="D42" s="18" t="n">
        <x:f>'Form Responses 1'!D42</x:f>
        <x:v>0</x:v>
      </x:c>
      <x:c r="E42" s="18" t="n">
        <x:f>'Form Responses 1'!E42</x:f>
        <x:v>0</x:v>
      </x:c>
      <x:c r="F42" s="18" t="n">
        <x:f>'Form Responses 1'!F42</x:f>
        <x:v>0</x:v>
      </x:c>
      <x:c r="G42" s="18" t="n">
        <x:f>'Form Responses 1'!G42</x:f>
        <x:v>0</x:v>
      </x:c>
      <x:c r="H42" s="18" t="str">
        <x:f>IF($C42="","",IFERROR(VLOOKUP($C42,Matches!$A$2:$Q$200,5,FALSE),"Unknown"))</x:f>
      </x:c>
      <x:c r="I42" s="60" t="str">
        <x:f>IF($C42="","",IFERROR(VLOOKUP($C42,Matches!$A$2:$Q$200,16,FALSE),""))</x:f>
      </x:c>
      <x:c r="J42" s="18" t="str">
        <x:f>IF($C42="","",IFERROR(VLOOKUP($C42,Matches!$A$2:$Q$200,11,FALSE),""))</x:f>
      </x:c>
      <x:c r="K42" s="18" t="str">
        <x:f>IF($C42="","",IFERROR(VLOOKUP($C42,Matches!$A$2:$Q$200,12,FALSE),""))</x:f>
      </x:c>
      <x:c r="L42" s="18" t="str">
        <x:f>IF($A42="","",IF($C42=1,"Yes",IF(OR($I42="",$A42&lt;$I42),"Yes","Late")))</x:f>
      </x:c>
      <x:c r="M42" s="66" t="str">
        <x:f>IF($A42="","",IF($L42&lt;&gt;"Yes",0,IF($E42="",0,IF($J42="",0,IF($H42="Group",IF($E42=$J42,Setup!$H$2,Setup!$H$3),IF($E42=$K42,Setup!$H$2,Setup!$H$3))))))</x:f>
      </x:c>
      <x:c r="N42" s="66" t="str">
        <x:f>IF($A42="","",IF($L42&lt;&gt;"Yes",0,IF(OR($F42="",$G42=""),0,IF(AND($F42=VLOOKUP($C42,Matches!$A$2:$Q$200,9,FALSE),$G42=VLOOKUP($C42,Matches!$A$2:$Q$200,10,FALSE)),Setup!$H$5,0))))</x:f>
      </x:c>
      <x:c r="O42" s="66" t="str">
        <x:f>IF($A42="","",$M42+$N42)</x:f>
      </x:c>
      <x:c r="P42" s="18" t="str">
        <x:f>IF($A42="","",IF($L42="Late","Late - 0 points",IF($J42="","Waiting for result",IF($O42&gt;0,"Scored",IF($O42&lt;0,"Wrong pick","No points")))))</x:f>
      </x:c>
    </x:row>
    <x:row r="43">
      <x:c r="A43" s="60" t="n">
        <x:f>'Form Responses 1'!A43</x:f>
        <x:v>0</x:v>
      </x:c>
      <x:c r="B43" s="18" t="n">
        <x:f>'Form Responses 1'!B43</x:f>
        <x:v>0</x:v>
      </x:c>
      <x:c r="C43" s="18" t="n">
        <x:f>'Form Responses 1'!C43</x:f>
        <x:v>0</x:v>
      </x:c>
      <x:c r="D43" s="18" t="n">
        <x:f>'Form Responses 1'!D43</x:f>
        <x:v>0</x:v>
      </x:c>
      <x:c r="E43" s="18" t="n">
        <x:f>'Form Responses 1'!E43</x:f>
        <x:v>0</x:v>
      </x:c>
      <x:c r="F43" s="18" t="n">
        <x:f>'Form Responses 1'!F43</x:f>
        <x:v>0</x:v>
      </x:c>
      <x:c r="G43" s="18" t="n">
        <x:f>'Form Responses 1'!G43</x:f>
        <x:v>0</x:v>
      </x:c>
      <x:c r="H43" s="18" t="str">
        <x:f>IF($C43="","",IFERROR(VLOOKUP($C43,Matches!$A$2:$Q$200,5,FALSE),"Unknown"))</x:f>
      </x:c>
      <x:c r="I43" s="60" t="str">
        <x:f>IF($C43="","",IFERROR(VLOOKUP($C43,Matches!$A$2:$Q$200,16,FALSE),""))</x:f>
      </x:c>
      <x:c r="J43" s="18" t="str">
        <x:f>IF($C43="","",IFERROR(VLOOKUP($C43,Matches!$A$2:$Q$200,11,FALSE),""))</x:f>
      </x:c>
      <x:c r="K43" s="18" t="str">
        <x:f>IF($C43="","",IFERROR(VLOOKUP($C43,Matches!$A$2:$Q$200,12,FALSE),""))</x:f>
      </x:c>
      <x:c r="L43" s="18" t="str">
        <x:f>IF($A43="","",IF($C43=1,"Yes",IF(OR($I43="",$A43&lt;$I43),"Yes","Late")))</x:f>
      </x:c>
      <x:c r="M43" s="66" t="str">
        <x:f>IF($A43="","",IF($L43&lt;&gt;"Yes",0,IF($E43="",0,IF($J43="",0,IF($H43="Group",IF($E43=$J43,Setup!$H$2,Setup!$H$3),IF($E43=$K43,Setup!$H$2,Setup!$H$3))))))</x:f>
      </x:c>
      <x:c r="N43" s="66" t="str">
        <x:f>IF($A43="","",IF($L43&lt;&gt;"Yes",0,IF(OR($F43="",$G43=""),0,IF(AND($F43=VLOOKUP($C43,Matches!$A$2:$Q$200,9,FALSE),$G43=VLOOKUP($C43,Matches!$A$2:$Q$200,10,FALSE)),Setup!$H$5,0))))</x:f>
      </x:c>
      <x:c r="O43" s="66" t="str">
        <x:f>IF($A43="","",$M43+$N43)</x:f>
      </x:c>
      <x:c r="P43" s="18" t="str">
        <x:f>IF($A43="","",IF($L43="Late","Late - 0 points",IF($J43="","Waiting for result",IF($O43&gt;0,"Scored",IF($O43&lt;0,"Wrong pick","No points")))))</x:f>
      </x:c>
    </x:row>
    <x:row r="44">
      <x:c r="A44" s="60" t="n">
        <x:f>'Form Responses 1'!A44</x:f>
        <x:v>0</x:v>
      </x:c>
      <x:c r="B44" s="18" t="n">
        <x:f>'Form Responses 1'!B44</x:f>
        <x:v>0</x:v>
      </x:c>
      <x:c r="C44" s="18" t="n">
        <x:f>'Form Responses 1'!C44</x:f>
        <x:v>0</x:v>
      </x:c>
      <x:c r="D44" s="18" t="n">
        <x:f>'Form Responses 1'!D44</x:f>
        <x:v>0</x:v>
      </x:c>
      <x:c r="E44" s="18" t="n">
        <x:f>'Form Responses 1'!E44</x:f>
        <x:v>0</x:v>
      </x:c>
      <x:c r="F44" s="18" t="n">
        <x:f>'Form Responses 1'!F44</x:f>
        <x:v>0</x:v>
      </x:c>
      <x:c r="G44" s="18" t="n">
        <x:f>'Form Responses 1'!G44</x:f>
        <x:v>0</x:v>
      </x:c>
      <x:c r="H44" s="18" t="str">
        <x:f>IF($C44="","",IFERROR(VLOOKUP($C44,Matches!$A$2:$Q$200,5,FALSE),"Unknown"))</x:f>
      </x:c>
      <x:c r="I44" s="60" t="str">
        <x:f>IF($C44="","",IFERROR(VLOOKUP($C44,Matches!$A$2:$Q$200,16,FALSE),""))</x:f>
      </x:c>
      <x:c r="J44" s="18" t="str">
        <x:f>IF($C44="","",IFERROR(VLOOKUP($C44,Matches!$A$2:$Q$200,11,FALSE),""))</x:f>
      </x:c>
      <x:c r="K44" s="18" t="str">
        <x:f>IF($C44="","",IFERROR(VLOOKUP($C44,Matches!$A$2:$Q$200,12,FALSE),""))</x:f>
      </x:c>
      <x:c r="L44" s="18" t="str">
        <x:f>IF($A44="","",IF($C44=1,"Yes",IF(OR($I44="",$A44&lt;$I44),"Yes","Late")))</x:f>
      </x:c>
      <x:c r="M44" s="66" t="str">
        <x:f>IF($A44="","",IF($L44&lt;&gt;"Yes",0,IF($E44="",0,IF($J44="",0,IF($H44="Group",IF($E44=$J44,Setup!$H$2,Setup!$H$3),IF($E44=$K44,Setup!$H$2,Setup!$H$3))))))</x:f>
      </x:c>
      <x:c r="N44" s="66" t="str">
        <x:f>IF($A44="","",IF($L44&lt;&gt;"Yes",0,IF(OR($F44="",$G44=""),0,IF(AND($F44=VLOOKUP($C44,Matches!$A$2:$Q$200,9,FALSE),$G44=VLOOKUP($C44,Matches!$A$2:$Q$200,10,FALSE)),Setup!$H$5,0))))</x:f>
      </x:c>
      <x:c r="O44" s="66" t="str">
        <x:f>IF($A44="","",$M44+$N44)</x:f>
      </x:c>
      <x:c r="P44" s="18" t="str">
        <x:f>IF($A44="","",IF($L44="Late","Late - 0 points",IF($J44="","Waiting for result",IF($O44&gt;0,"Scored",IF($O44&lt;0,"Wrong pick","No points")))))</x:f>
      </x:c>
    </x:row>
    <x:row r="45">
      <x:c r="A45" s="60" t="n">
        <x:f>'Form Responses 1'!A45</x:f>
        <x:v>0</x:v>
      </x:c>
      <x:c r="B45" s="18" t="n">
        <x:f>'Form Responses 1'!B45</x:f>
        <x:v>0</x:v>
      </x:c>
      <x:c r="C45" s="18" t="n">
        <x:f>'Form Responses 1'!C45</x:f>
        <x:v>0</x:v>
      </x:c>
      <x:c r="D45" s="18" t="n">
        <x:f>'Form Responses 1'!D45</x:f>
        <x:v>0</x:v>
      </x:c>
      <x:c r="E45" s="18" t="n">
        <x:f>'Form Responses 1'!E45</x:f>
        <x:v>0</x:v>
      </x:c>
      <x:c r="F45" s="18" t="n">
        <x:f>'Form Responses 1'!F45</x:f>
        <x:v>0</x:v>
      </x:c>
      <x:c r="G45" s="18" t="n">
        <x:f>'Form Responses 1'!G45</x:f>
        <x:v>0</x:v>
      </x:c>
      <x:c r="H45" s="18" t="str">
        <x:f>IF($C45="","",IFERROR(VLOOKUP($C45,Matches!$A$2:$Q$200,5,FALSE),"Unknown"))</x:f>
      </x:c>
      <x:c r="I45" s="60" t="str">
        <x:f>IF($C45="","",IFERROR(VLOOKUP($C45,Matches!$A$2:$Q$200,16,FALSE),""))</x:f>
      </x:c>
      <x:c r="J45" s="18" t="str">
        <x:f>IF($C45="","",IFERROR(VLOOKUP($C45,Matches!$A$2:$Q$200,11,FALSE),""))</x:f>
      </x:c>
      <x:c r="K45" s="18" t="str">
        <x:f>IF($C45="","",IFERROR(VLOOKUP($C45,Matches!$A$2:$Q$200,12,FALSE),""))</x:f>
      </x:c>
      <x:c r="L45" s="18" t="str">
        <x:f>IF($A45="","",IF($C45=1,"Yes",IF(OR($I45="",$A45&lt;$I45),"Yes","Late")))</x:f>
      </x:c>
      <x:c r="M45" s="66" t="str">
        <x:f>IF($A45="","",IF($L45&lt;&gt;"Yes",0,IF($E45="",0,IF($J45="",0,IF($H45="Group",IF($E45=$J45,Setup!$H$2,Setup!$H$3),IF($E45=$K45,Setup!$H$2,Setup!$H$3))))))</x:f>
      </x:c>
      <x:c r="N45" s="66" t="str">
        <x:f>IF($A45="","",IF($L45&lt;&gt;"Yes",0,IF(OR($F45="",$G45=""),0,IF(AND($F45=VLOOKUP($C45,Matches!$A$2:$Q$200,9,FALSE),$G45=VLOOKUP($C45,Matches!$A$2:$Q$200,10,FALSE)),Setup!$H$5,0))))</x:f>
      </x:c>
      <x:c r="O45" s="66" t="str">
        <x:f>IF($A45="","",$M45+$N45)</x:f>
      </x:c>
      <x:c r="P45" s="18" t="str">
        <x:f>IF($A45="","",IF($L45="Late","Late - 0 points",IF($J45="","Waiting for result",IF($O45&gt;0,"Scored",IF($O45&lt;0,"Wrong pick","No points")))))</x:f>
      </x:c>
    </x:row>
    <x:row r="46">
      <x:c r="A46" s="60" t="n">
        <x:f>'Form Responses 1'!A46</x:f>
        <x:v>0</x:v>
      </x:c>
      <x:c r="B46" s="18" t="n">
        <x:f>'Form Responses 1'!B46</x:f>
        <x:v>0</x:v>
      </x:c>
      <x:c r="C46" s="18" t="n">
        <x:f>'Form Responses 1'!C46</x:f>
        <x:v>0</x:v>
      </x:c>
      <x:c r="D46" s="18" t="n">
        <x:f>'Form Responses 1'!D46</x:f>
        <x:v>0</x:v>
      </x:c>
      <x:c r="E46" s="18" t="n">
        <x:f>'Form Responses 1'!E46</x:f>
        <x:v>0</x:v>
      </x:c>
      <x:c r="F46" s="18" t="n">
        <x:f>'Form Responses 1'!F46</x:f>
        <x:v>0</x:v>
      </x:c>
      <x:c r="G46" s="18" t="n">
        <x:f>'Form Responses 1'!G46</x:f>
        <x:v>0</x:v>
      </x:c>
      <x:c r="H46" s="18" t="str">
        <x:f>IF($C46="","",IFERROR(VLOOKUP($C46,Matches!$A$2:$Q$200,5,FALSE),"Unknown"))</x:f>
      </x:c>
      <x:c r="I46" s="60" t="str">
        <x:f>IF($C46="","",IFERROR(VLOOKUP($C46,Matches!$A$2:$Q$200,16,FALSE),""))</x:f>
      </x:c>
      <x:c r="J46" s="18" t="str">
        <x:f>IF($C46="","",IFERROR(VLOOKUP($C46,Matches!$A$2:$Q$200,11,FALSE),""))</x:f>
      </x:c>
      <x:c r="K46" s="18" t="str">
        <x:f>IF($C46="","",IFERROR(VLOOKUP($C46,Matches!$A$2:$Q$200,12,FALSE),""))</x:f>
      </x:c>
      <x:c r="L46" s="18" t="str">
        <x:f>IF($A46="","",IF($C46=1,"Yes",IF(OR($I46="",$A46&lt;$I46),"Yes","Late")))</x:f>
      </x:c>
      <x:c r="M46" s="66" t="str">
        <x:f>IF($A46="","",IF($L46&lt;&gt;"Yes",0,IF($E46="",0,IF($J46="",0,IF($H46="Group",IF($E46=$J46,Setup!$H$2,Setup!$H$3),IF($E46=$K46,Setup!$H$2,Setup!$H$3))))))</x:f>
      </x:c>
      <x:c r="N46" s="66" t="str">
        <x:f>IF($A46="","",IF($L46&lt;&gt;"Yes",0,IF(OR($F46="",$G46=""),0,IF(AND($F46=VLOOKUP($C46,Matches!$A$2:$Q$200,9,FALSE),$G46=VLOOKUP($C46,Matches!$A$2:$Q$200,10,FALSE)),Setup!$H$5,0))))</x:f>
      </x:c>
      <x:c r="O46" s="66" t="str">
        <x:f>IF($A46="","",$M46+$N46)</x:f>
      </x:c>
      <x:c r="P46" s="18" t="str">
        <x:f>IF($A46="","",IF($L46="Late","Late - 0 points",IF($J46="","Waiting for result",IF($O46&gt;0,"Scored",IF($O46&lt;0,"Wrong pick","No points")))))</x:f>
      </x:c>
    </x:row>
    <x:row r="47">
      <x:c r="A47" s="60" t="n">
        <x:f>'Form Responses 1'!A47</x:f>
        <x:v>0</x:v>
      </x:c>
      <x:c r="B47" s="18" t="n">
        <x:f>'Form Responses 1'!B47</x:f>
        <x:v>0</x:v>
      </x:c>
      <x:c r="C47" s="18" t="n">
        <x:f>'Form Responses 1'!C47</x:f>
        <x:v>0</x:v>
      </x:c>
      <x:c r="D47" s="18" t="n">
        <x:f>'Form Responses 1'!D47</x:f>
        <x:v>0</x:v>
      </x:c>
      <x:c r="E47" s="18" t="n">
        <x:f>'Form Responses 1'!E47</x:f>
        <x:v>0</x:v>
      </x:c>
      <x:c r="F47" s="18" t="n">
        <x:f>'Form Responses 1'!F47</x:f>
        <x:v>0</x:v>
      </x:c>
      <x:c r="G47" s="18" t="n">
        <x:f>'Form Responses 1'!G47</x:f>
        <x:v>0</x:v>
      </x:c>
      <x:c r="H47" s="18" t="str">
        <x:f>IF($C47="","",IFERROR(VLOOKUP($C47,Matches!$A$2:$Q$200,5,FALSE),"Unknown"))</x:f>
      </x:c>
      <x:c r="I47" s="60" t="str">
        <x:f>IF($C47="","",IFERROR(VLOOKUP($C47,Matches!$A$2:$Q$200,16,FALSE),""))</x:f>
      </x:c>
      <x:c r="J47" s="18" t="str">
        <x:f>IF($C47="","",IFERROR(VLOOKUP($C47,Matches!$A$2:$Q$200,11,FALSE),""))</x:f>
      </x:c>
      <x:c r="K47" s="18" t="str">
        <x:f>IF($C47="","",IFERROR(VLOOKUP($C47,Matches!$A$2:$Q$200,12,FALSE),""))</x:f>
      </x:c>
      <x:c r="L47" s="18" t="str">
        <x:f>IF($A47="","",IF($C47=1,"Yes",IF(OR($I47="",$A47&lt;$I47),"Yes","Late")))</x:f>
      </x:c>
      <x:c r="M47" s="66" t="str">
        <x:f>IF($A47="","",IF($L47&lt;&gt;"Yes",0,IF($E47="",0,IF($J47="",0,IF($H47="Group",IF($E47=$J47,Setup!$H$2,Setup!$H$3),IF($E47=$K47,Setup!$H$2,Setup!$H$3))))))</x:f>
      </x:c>
      <x:c r="N47" s="66" t="str">
        <x:f>IF($A47="","",IF($L47&lt;&gt;"Yes",0,IF(OR($F47="",$G47=""),0,IF(AND($F47=VLOOKUP($C47,Matches!$A$2:$Q$200,9,FALSE),$G47=VLOOKUP($C47,Matches!$A$2:$Q$200,10,FALSE)),Setup!$H$5,0))))</x:f>
      </x:c>
      <x:c r="O47" s="66" t="str">
        <x:f>IF($A47="","",$M47+$N47)</x:f>
      </x:c>
      <x:c r="P47" s="18" t="str">
        <x:f>IF($A47="","",IF($L47="Late","Late - 0 points",IF($J47="","Waiting for result",IF($O47&gt;0,"Scored",IF($O47&lt;0,"Wrong pick","No points")))))</x:f>
      </x:c>
    </x:row>
    <x:row r="48">
      <x:c r="A48" s="60" t="n">
        <x:f>'Form Responses 1'!A48</x:f>
        <x:v>0</x:v>
      </x:c>
      <x:c r="B48" s="18" t="n">
        <x:f>'Form Responses 1'!B48</x:f>
        <x:v>0</x:v>
      </x:c>
      <x:c r="C48" s="18" t="n">
        <x:f>'Form Responses 1'!C48</x:f>
        <x:v>0</x:v>
      </x:c>
      <x:c r="D48" s="18" t="n">
        <x:f>'Form Responses 1'!D48</x:f>
        <x:v>0</x:v>
      </x:c>
      <x:c r="E48" s="18" t="n">
        <x:f>'Form Responses 1'!E48</x:f>
        <x:v>0</x:v>
      </x:c>
      <x:c r="F48" s="18" t="n">
        <x:f>'Form Responses 1'!F48</x:f>
        <x:v>0</x:v>
      </x:c>
      <x:c r="G48" s="18" t="n">
        <x:f>'Form Responses 1'!G48</x:f>
        <x:v>0</x:v>
      </x:c>
      <x:c r="H48" s="18" t="str">
        <x:f>IF($C48="","",IFERROR(VLOOKUP($C48,Matches!$A$2:$Q$200,5,FALSE),"Unknown"))</x:f>
      </x:c>
      <x:c r="I48" s="60" t="str">
        <x:f>IF($C48="","",IFERROR(VLOOKUP($C48,Matches!$A$2:$Q$200,16,FALSE),""))</x:f>
      </x:c>
      <x:c r="J48" s="18" t="str">
        <x:f>IF($C48="","",IFERROR(VLOOKUP($C48,Matches!$A$2:$Q$200,11,FALSE),""))</x:f>
      </x:c>
      <x:c r="K48" s="18" t="str">
        <x:f>IF($C48="","",IFERROR(VLOOKUP($C48,Matches!$A$2:$Q$200,12,FALSE),""))</x:f>
      </x:c>
      <x:c r="L48" s="18" t="str">
        <x:f>IF($A48="","",IF($C48=1,"Yes",IF(OR($I48="",$A48&lt;$I48),"Yes","Late")))</x:f>
      </x:c>
      <x:c r="M48" s="66" t="str">
        <x:f>IF($A48="","",IF($L48&lt;&gt;"Yes",0,IF($E48="",0,IF($J48="",0,IF($H48="Group",IF($E48=$J48,Setup!$H$2,Setup!$H$3),IF($E48=$K48,Setup!$H$2,Setup!$H$3))))))</x:f>
      </x:c>
      <x:c r="N48" s="66" t="str">
        <x:f>IF($A48="","",IF($L48&lt;&gt;"Yes",0,IF(OR($F48="",$G48=""),0,IF(AND($F48=VLOOKUP($C48,Matches!$A$2:$Q$200,9,FALSE),$G48=VLOOKUP($C48,Matches!$A$2:$Q$200,10,FALSE)),Setup!$H$5,0))))</x:f>
      </x:c>
      <x:c r="O48" s="66" t="str">
        <x:f>IF($A48="","",$M48+$N48)</x:f>
      </x:c>
      <x:c r="P48" s="18" t="str">
        <x:f>IF($A48="","",IF($L48="Late","Late - 0 points",IF($J48="","Waiting for result",IF($O48&gt;0,"Scored",IF($O48&lt;0,"Wrong pick","No points")))))</x:f>
      </x:c>
    </x:row>
    <x:row r="49">
      <x:c r="A49" s="60" t="n">
        <x:f>'Form Responses 1'!A49</x:f>
        <x:v>0</x:v>
      </x:c>
      <x:c r="B49" s="18" t="n">
        <x:f>'Form Responses 1'!B49</x:f>
        <x:v>0</x:v>
      </x:c>
      <x:c r="C49" s="18" t="n">
        <x:f>'Form Responses 1'!C49</x:f>
        <x:v>0</x:v>
      </x:c>
      <x:c r="D49" s="18" t="n">
        <x:f>'Form Responses 1'!D49</x:f>
        <x:v>0</x:v>
      </x:c>
      <x:c r="E49" s="18" t="n">
        <x:f>'Form Responses 1'!E49</x:f>
        <x:v>0</x:v>
      </x:c>
      <x:c r="F49" s="18" t="n">
        <x:f>'Form Responses 1'!F49</x:f>
        <x:v>0</x:v>
      </x:c>
      <x:c r="G49" s="18" t="n">
        <x:f>'Form Responses 1'!G49</x:f>
        <x:v>0</x:v>
      </x:c>
      <x:c r="H49" s="18" t="str">
        <x:f>IF($C49="","",IFERROR(VLOOKUP($C49,Matches!$A$2:$Q$200,5,FALSE),"Unknown"))</x:f>
      </x:c>
      <x:c r="I49" s="60" t="str">
        <x:f>IF($C49="","",IFERROR(VLOOKUP($C49,Matches!$A$2:$Q$200,16,FALSE),""))</x:f>
      </x:c>
      <x:c r="J49" s="18" t="str">
        <x:f>IF($C49="","",IFERROR(VLOOKUP($C49,Matches!$A$2:$Q$200,11,FALSE),""))</x:f>
      </x:c>
      <x:c r="K49" s="18" t="str">
        <x:f>IF($C49="","",IFERROR(VLOOKUP($C49,Matches!$A$2:$Q$200,12,FALSE),""))</x:f>
      </x:c>
      <x:c r="L49" s="18" t="str">
        <x:f>IF($A49="","",IF($C49=1,"Yes",IF(OR($I49="",$A49&lt;$I49),"Yes","Late")))</x:f>
      </x:c>
      <x:c r="M49" s="66" t="str">
        <x:f>IF($A49="","",IF($L49&lt;&gt;"Yes",0,IF($E49="",0,IF($J49="",0,IF($H49="Group",IF($E49=$J49,Setup!$H$2,Setup!$H$3),IF($E49=$K49,Setup!$H$2,Setup!$H$3))))))</x:f>
      </x:c>
      <x:c r="N49" s="66" t="str">
        <x:f>IF($A49="","",IF($L49&lt;&gt;"Yes",0,IF(OR($F49="",$G49=""),0,IF(AND($F49=VLOOKUP($C49,Matches!$A$2:$Q$200,9,FALSE),$G49=VLOOKUP($C49,Matches!$A$2:$Q$200,10,FALSE)),Setup!$H$5,0))))</x:f>
      </x:c>
      <x:c r="O49" s="66" t="str">
        <x:f>IF($A49="","",$M49+$N49)</x:f>
      </x:c>
      <x:c r="P49" s="18" t="str">
        <x:f>IF($A49="","",IF($L49="Late","Late - 0 points",IF($J49="","Waiting for result",IF($O49&gt;0,"Scored",IF($O49&lt;0,"Wrong pick","No points")))))</x:f>
      </x:c>
    </x:row>
    <x:row r="50">
      <x:c r="A50" s="60" t="n">
        <x:f>'Form Responses 1'!A50</x:f>
        <x:v>0</x:v>
      </x:c>
      <x:c r="B50" s="18" t="n">
        <x:f>'Form Responses 1'!B50</x:f>
        <x:v>0</x:v>
      </x:c>
      <x:c r="C50" s="18" t="n">
        <x:f>'Form Responses 1'!C50</x:f>
        <x:v>0</x:v>
      </x:c>
      <x:c r="D50" s="18" t="n">
        <x:f>'Form Responses 1'!D50</x:f>
        <x:v>0</x:v>
      </x:c>
      <x:c r="E50" s="18" t="n">
        <x:f>'Form Responses 1'!E50</x:f>
        <x:v>0</x:v>
      </x:c>
      <x:c r="F50" s="18" t="n">
        <x:f>'Form Responses 1'!F50</x:f>
        <x:v>0</x:v>
      </x:c>
      <x:c r="G50" s="18" t="n">
        <x:f>'Form Responses 1'!G50</x:f>
        <x:v>0</x:v>
      </x:c>
      <x:c r="H50" s="18" t="str">
        <x:f>IF($C50="","",IFERROR(VLOOKUP($C50,Matches!$A$2:$Q$200,5,FALSE),"Unknown"))</x:f>
      </x:c>
      <x:c r="I50" s="60" t="str">
        <x:f>IF($C50="","",IFERROR(VLOOKUP($C50,Matches!$A$2:$Q$200,16,FALSE),""))</x:f>
      </x:c>
      <x:c r="J50" s="18" t="str">
        <x:f>IF($C50="","",IFERROR(VLOOKUP($C50,Matches!$A$2:$Q$200,11,FALSE),""))</x:f>
      </x:c>
      <x:c r="K50" s="18" t="str">
        <x:f>IF($C50="","",IFERROR(VLOOKUP($C50,Matches!$A$2:$Q$200,12,FALSE),""))</x:f>
      </x:c>
      <x:c r="L50" s="18" t="str">
        <x:f>IF($A50="","",IF($C50=1,"Yes",IF(OR($I50="",$A50&lt;$I50),"Yes","Late")))</x:f>
      </x:c>
      <x:c r="M50" s="66" t="str">
        <x:f>IF($A50="","",IF($L50&lt;&gt;"Yes",0,IF($E50="",0,IF($J50="",0,IF($H50="Group",IF($E50=$J50,Setup!$H$2,Setup!$H$3),IF($E50=$K50,Setup!$H$2,Setup!$H$3))))))</x:f>
      </x:c>
      <x:c r="N50" s="66" t="str">
        <x:f>IF($A50="","",IF($L50&lt;&gt;"Yes",0,IF(OR($F50="",$G50=""),0,IF(AND($F50=VLOOKUP($C50,Matches!$A$2:$Q$200,9,FALSE),$G50=VLOOKUP($C50,Matches!$A$2:$Q$200,10,FALSE)),Setup!$H$5,0))))</x:f>
      </x:c>
      <x:c r="O50" s="66" t="str">
        <x:f>IF($A50="","",$M50+$N50)</x:f>
      </x:c>
      <x:c r="P50" s="18" t="str">
        <x:f>IF($A50="","",IF($L50="Late","Late - 0 points",IF($J50="","Waiting for result",IF($O50&gt;0,"Scored",IF($O50&lt;0,"Wrong pick","No points")))))</x:f>
      </x:c>
    </x:row>
    <x:row r="51">
      <x:c r="A51" s="60" t="n">
        <x:f>'Form Responses 1'!A51</x:f>
        <x:v>0</x:v>
      </x:c>
      <x:c r="B51" s="18" t="n">
        <x:f>'Form Responses 1'!B51</x:f>
        <x:v>0</x:v>
      </x:c>
      <x:c r="C51" s="18" t="n">
        <x:f>'Form Responses 1'!C51</x:f>
        <x:v>0</x:v>
      </x:c>
      <x:c r="D51" s="18" t="n">
        <x:f>'Form Responses 1'!D51</x:f>
        <x:v>0</x:v>
      </x:c>
      <x:c r="E51" s="18" t="n">
        <x:f>'Form Responses 1'!E51</x:f>
        <x:v>0</x:v>
      </x:c>
      <x:c r="F51" s="18" t="n">
        <x:f>'Form Responses 1'!F51</x:f>
        <x:v>0</x:v>
      </x:c>
      <x:c r="G51" s="18" t="n">
        <x:f>'Form Responses 1'!G51</x:f>
        <x:v>0</x:v>
      </x:c>
      <x:c r="H51" s="18" t="str">
        <x:f>IF($C51="","",IFERROR(VLOOKUP($C51,Matches!$A$2:$Q$200,5,FALSE),"Unknown"))</x:f>
      </x:c>
      <x:c r="I51" s="60" t="str">
        <x:f>IF($C51="","",IFERROR(VLOOKUP($C51,Matches!$A$2:$Q$200,16,FALSE),""))</x:f>
      </x:c>
      <x:c r="J51" s="18" t="str">
        <x:f>IF($C51="","",IFERROR(VLOOKUP($C51,Matches!$A$2:$Q$200,11,FALSE),""))</x:f>
      </x:c>
      <x:c r="K51" s="18" t="str">
        <x:f>IF($C51="","",IFERROR(VLOOKUP($C51,Matches!$A$2:$Q$200,12,FALSE),""))</x:f>
      </x:c>
      <x:c r="L51" s="18" t="str">
        <x:f>IF($A51="","",IF($C51=1,"Yes",IF(OR($I51="",$A51&lt;$I51),"Yes","Late")))</x:f>
      </x:c>
      <x:c r="M51" s="66" t="str">
        <x:f>IF($A51="","",IF($L51&lt;&gt;"Yes",0,IF($E51="",0,IF($J51="",0,IF($H51="Group",IF($E51=$J51,Setup!$H$2,Setup!$H$3),IF($E51=$K51,Setup!$H$2,Setup!$H$3))))))</x:f>
      </x:c>
      <x:c r="N51" s="66" t="str">
        <x:f>IF($A51="","",IF($L51&lt;&gt;"Yes",0,IF(OR($F51="",$G51=""),0,IF(AND($F51=VLOOKUP($C51,Matches!$A$2:$Q$200,9,FALSE),$G51=VLOOKUP($C51,Matches!$A$2:$Q$200,10,FALSE)),Setup!$H$5,0))))</x:f>
      </x:c>
      <x:c r="O51" s="66" t="str">
        <x:f>IF($A51="","",$M51+$N51)</x:f>
      </x:c>
      <x:c r="P51" s="18" t="str">
        <x:f>IF($A51="","",IF($L51="Late","Late - 0 points",IF($J51="","Waiting for result",IF($O51&gt;0,"Scored",IF($O51&lt;0,"Wrong pick","No points")))))</x:f>
      </x:c>
    </x:row>
    <x:row r="52">
      <x:c r="A52" s="60" t="n">
        <x:f>'Form Responses 1'!A52</x:f>
        <x:v>0</x:v>
      </x:c>
      <x:c r="B52" s="18" t="n">
        <x:f>'Form Responses 1'!B52</x:f>
        <x:v>0</x:v>
      </x:c>
      <x:c r="C52" s="18" t="n">
        <x:f>'Form Responses 1'!C52</x:f>
        <x:v>0</x:v>
      </x:c>
      <x:c r="D52" s="18" t="n">
        <x:f>'Form Responses 1'!D52</x:f>
        <x:v>0</x:v>
      </x:c>
      <x:c r="E52" s="18" t="n">
        <x:f>'Form Responses 1'!E52</x:f>
        <x:v>0</x:v>
      </x:c>
      <x:c r="F52" s="18" t="n">
        <x:f>'Form Responses 1'!F52</x:f>
        <x:v>0</x:v>
      </x:c>
      <x:c r="G52" s="18" t="n">
        <x:f>'Form Responses 1'!G52</x:f>
        <x:v>0</x:v>
      </x:c>
      <x:c r="H52" s="18" t="str">
        <x:f>IF($C52="","",IFERROR(VLOOKUP($C52,Matches!$A$2:$Q$200,5,FALSE),"Unknown"))</x:f>
      </x:c>
      <x:c r="I52" s="60" t="str">
        <x:f>IF($C52="","",IFERROR(VLOOKUP($C52,Matches!$A$2:$Q$200,16,FALSE),""))</x:f>
      </x:c>
      <x:c r="J52" s="18" t="str">
        <x:f>IF($C52="","",IFERROR(VLOOKUP($C52,Matches!$A$2:$Q$200,11,FALSE),""))</x:f>
      </x:c>
      <x:c r="K52" s="18" t="str">
        <x:f>IF($C52="","",IFERROR(VLOOKUP($C52,Matches!$A$2:$Q$200,12,FALSE),""))</x:f>
      </x:c>
      <x:c r="L52" s="18" t="str">
        <x:f>IF($A52="","",IF($C52=1,"Yes",IF(OR($I52="",$A52&lt;$I52),"Yes","Late")))</x:f>
      </x:c>
      <x:c r="M52" s="66" t="str">
        <x:f>IF($A52="","",IF($L52&lt;&gt;"Yes",0,IF($E52="",0,IF($J52="",0,IF($H52="Group",IF($E52=$J52,Setup!$H$2,Setup!$H$3),IF($E52=$K52,Setup!$H$2,Setup!$H$3))))))</x:f>
      </x:c>
      <x:c r="N52" s="66" t="str">
        <x:f>IF($A52="","",IF($L52&lt;&gt;"Yes",0,IF(OR($F52="",$G52=""),0,IF(AND($F52=VLOOKUP($C52,Matches!$A$2:$Q$200,9,FALSE),$G52=VLOOKUP($C52,Matches!$A$2:$Q$200,10,FALSE)),Setup!$H$5,0))))</x:f>
      </x:c>
      <x:c r="O52" s="66" t="str">
        <x:f>IF($A52="","",$M52+$N52)</x:f>
      </x:c>
      <x:c r="P52" s="18" t="str">
        <x:f>IF($A52="","",IF($L52="Late","Late - 0 points",IF($J52="","Waiting for result",IF($O52&gt;0,"Scored",IF($O52&lt;0,"Wrong pick","No points")))))</x:f>
      </x:c>
    </x:row>
    <x:row r="53">
      <x:c r="A53" s="60" t="n">
        <x:f>'Form Responses 1'!A53</x:f>
        <x:v>0</x:v>
      </x:c>
      <x:c r="B53" s="18" t="n">
        <x:f>'Form Responses 1'!B53</x:f>
        <x:v>0</x:v>
      </x:c>
      <x:c r="C53" s="18" t="n">
        <x:f>'Form Responses 1'!C53</x:f>
        <x:v>0</x:v>
      </x:c>
      <x:c r="D53" s="18" t="n">
        <x:f>'Form Responses 1'!D53</x:f>
        <x:v>0</x:v>
      </x:c>
      <x:c r="E53" s="18" t="n">
        <x:f>'Form Responses 1'!E53</x:f>
        <x:v>0</x:v>
      </x:c>
      <x:c r="F53" s="18" t="n">
        <x:f>'Form Responses 1'!F53</x:f>
        <x:v>0</x:v>
      </x:c>
      <x:c r="G53" s="18" t="n">
        <x:f>'Form Responses 1'!G53</x:f>
        <x:v>0</x:v>
      </x:c>
      <x:c r="H53" s="18" t="str">
        <x:f>IF($C53="","",IFERROR(VLOOKUP($C53,Matches!$A$2:$Q$200,5,FALSE),"Unknown"))</x:f>
      </x:c>
      <x:c r="I53" s="60" t="str">
        <x:f>IF($C53="","",IFERROR(VLOOKUP($C53,Matches!$A$2:$Q$200,16,FALSE),""))</x:f>
      </x:c>
      <x:c r="J53" s="18" t="str">
        <x:f>IF($C53="","",IFERROR(VLOOKUP($C53,Matches!$A$2:$Q$200,11,FALSE),""))</x:f>
      </x:c>
      <x:c r="K53" s="18" t="str">
        <x:f>IF($C53="","",IFERROR(VLOOKUP($C53,Matches!$A$2:$Q$200,12,FALSE),""))</x:f>
      </x:c>
      <x:c r="L53" s="18" t="str">
        <x:f>IF($A53="","",IF($C53=1,"Yes",IF(OR($I53="",$A53&lt;$I53),"Yes","Late")))</x:f>
      </x:c>
      <x:c r="M53" s="66" t="str">
        <x:f>IF($A53="","",IF($L53&lt;&gt;"Yes",0,IF($E53="",0,IF($J53="",0,IF($H53="Group",IF($E53=$J53,Setup!$H$2,Setup!$H$3),IF($E53=$K53,Setup!$H$2,Setup!$H$3))))))</x:f>
      </x:c>
      <x:c r="N53" s="66" t="str">
        <x:f>IF($A53="","",IF($L53&lt;&gt;"Yes",0,IF(OR($F53="",$G53=""),0,IF(AND($F53=VLOOKUP($C53,Matches!$A$2:$Q$200,9,FALSE),$G53=VLOOKUP($C53,Matches!$A$2:$Q$200,10,FALSE)),Setup!$H$5,0))))</x:f>
      </x:c>
      <x:c r="O53" s="66" t="str">
        <x:f>IF($A53="","",$M53+$N53)</x:f>
      </x:c>
      <x:c r="P53" s="18" t="str">
        <x:f>IF($A53="","",IF($L53="Late","Late - 0 points",IF($J53="","Waiting for result",IF($O53&gt;0,"Scored",IF($O53&lt;0,"Wrong pick","No points")))))</x:f>
      </x:c>
    </x:row>
    <x:row r="54">
      <x:c r="A54" s="60" t="n">
        <x:f>'Form Responses 1'!A54</x:f>
        <x:v>0</x:v>
      </x:c>
      <x:c r="B54" s="18" t="n">
        <x:f>'Form Responses 1'!B54</x:f>
        <x:v>0</x:v>
      </x:c>
      <x:c r="C54" s="18" t="n">
        <x:f>'Form Responses 1'!C54</x:f>
        <x:v>0</x:v>
      </x:c>
      <x:c r="D54" s="18" t="n">
        <x:f>'Form Responses 1'!D54</x:f>
        <x:v>0</x:v>
      </x:c>
      <x:c r="E54" s="18" t="n">
        <x:f>'Form Responses 1'!E54</x:f>
        <x:v>0</x:v>
      </x:c>
      <x:c r="F54" s="18" t="n">
        <x:f>'Form Responses 1'!F54</x:f>
        <x:v>0</x:v>
      </x:c>
      <x:c r="G54" s="18" t="n">
        <x:f>'Form Responses 1'!G54</x:f>
        <x:v>0</x:v>
      </x:c>
      <x:c r="H54" s="18" t="str">
        <x:f>IF($C54="","",IFERROR(VLOOKUP($C54,Matches!$A$2:$Q$200,5,FALSE),"Unknown"))</x:f>
      </x:c>
      <x:c r="I54" s="60" t="str">
        <x:f>IF($C54="","",IFERROR(VLOOKUP($C54,Matches!$A$2:$Q$200,16,FALSE),""))</x:f>
      </x:c>
      <x:c r="J54" s="18" t="str">
        <x:f>IF($C54="","",IFERROR(VLOOKUP($C54,Matches!$A$2:$Q$200,11,FALSE),""))</x:f>
      </x:c>
      <x:c r="K54" s="18" t="str">
        <x:f>IF($C54="","",IFERROR(VLOOKUP($C54,Matches!$A$2:$Q$200,12,FALSE),""))</x:f>
      </x:c>
      <x:c r="L54" s="18" t="str">
        <x:f>IF($A54="","",IF($C54=1,"Yes",IF(OR($I54="",$A54&lt;$I54),"Yes","Late")))</x:f>
      </x:c>
      <x:c r="M54" s="66" t="str">
        <x:f>IF($A54="","",IF($L54&lt;&gt;"Yes",0,IF($E54="",0,IF($J54="",0,IF($H54="Group",IF($E54=$J54,Setup!$H$2,Setup!$H$3),IF($E54=$K54,Setup!$H$2,Setup!$H$3))))))</x:f>
      </x:c>
      <x:c r="N54" s="66" t="str">
        <x:f>IF($A54="","",IF($L54&lt;&gt;"Yes",0,IF(OR($F54="",$G54=""),0,IF(AND($F54=VLOOKUP($C54,Matches!$A$2:$Q$200,9,FALSE),$G54=VLOOKUP($C54,Matches!$A$2:$Q$200,10,FALSE)),Setup!$H$5,0))))</x:f>
      </x:c>
      <x:c r="O54" s="66" t="str">
        <x:f>IF($A54="","",$M54+$N54)</x:f>
      </x:c>
      <x:c r="P54" s="18" t="str">
        <x:f>IF($A54="","",IF($L54="Late","Late - 0 points",IF($J54="","Waiting for result",IF($O54&gt;0,"Scored",IF($O54&lt;0,"Wrong pick","No points")))))</x:f>
      </x:c>
    </x:row>
    <x:row r="55">
      <x:c r="A55" s="60" t="n">
        <x:f>'Form Responses 1'!A55</x:f>
        <x:v>0</x:v>
      </x:c>
      <x:c r="B55" s="18" t="n">
        <x:f>'Form Responses 1'!B55</x:f>
        <x:v>0</x:v>
      </x:c>
      <x:c r="C55" s="18" t="n">
        <x:f>'Form Responses 1'!C55</x:f>
        <x:v>0</x:v>
      </x:c>
      <x:c r="D55" s="18" t="n">
        <x:f>'Form Responses 1'!D55</x:f>
        <x:v>0</x:v>
      </x:c>
      <x:c r="E55" s="18" t="n">
        <x:f>'Form Responses 1'!E55</x:f>
        <x:v>0</x:v>
      </x:c>
      <x:c r="F55" s="18" t="n">
        <x:f>'Form Responses 1'!F55</x:f>
        <x:v>0</x:v>
      </x:c>
      <x:c r="G55" s="18" t="n">
        <x:f>'Form Responses 1'!G55</x:f>
        <x:v>0</x:v>
      </x:c>
      <x:c r="H55" s="18" t="str">
        <x:f>IF($C55="","",IFERROR(VLOOKUP($C55,Matches!$A$2:$Q$200,5,FALSE),"Unknown"))</x:f>
      </x:c>
      <x:c r="I55" s="60" t="str">
        <x:f>IF($C55="","",IFERROR(VLOOKUP($C55,Matches!$A$2:$Q$200,16,FALSE),""))</x:f>
      </x:c>
      <x:c r="J55" s="18" t="str">
        <x:f>IF($C55="","",IFERROR(VLOOKUP($C55,Matches!$A$2:$Q$200,11,FALSE),""))</x:f>
      </x:c>
      <x:c r="K55" s="18" t="str">
        <x:f>IF($C55="","",IFERROR(VLOOKUP($C55,Matches!$A$2:$Q$200,12,FALSE),""))</x:f>
      </x:c>
      <x:c r="L55" s="18" t="str">
        <x:f>IF($A55="","",IF($C55=1,"Yes",IF(OR($I55="",$A55&lt;$I55),"Yes","Late")))</x:f>
      </x:c>
      <x:c r="M55" s="66" t="str">
        <x:f>IF($A55="","",IF($L55&lt;&gt;"Yes",0,IF($E55="",0,IF($J55="",0,IF($H55="Group",IF($E55=$J55,Setup!$H$2,Setup!$H$3),IF($E55=$K55,Setup!$H$2,Setup!$H$3))))))</x:f>
      </x:c>
      <x:c r="N55" s="66" t="str">
        <x:f>IF($A55="","",IF($L55&lt;&gt;"Yes",0,IF(OR($F55="",$G55=""),0,IF(AND($F55=VLOOKUP($C55,Matches!$A$2:$Q$200,9,FALSE),$G55=VLOOKUP($C55,Matches!$A$2:$Q$200,10,FALSE)),Setup!$H$5,0))))</x:f>
      </x:c>
      <x:c r="O55" s="66" t="str">
        <x:f>IF($A55="","",$M55+$N55)</x:f>
      </x:c>
      <x:c r="P55" s="18" t="str">
        <x:f>IF($A55="","",IF($L55="Late","Late - 0 points",IF($J55="","Waiting for result",IF($O55&gt;0,"Scored",IF($O55&lt;0,"Wrong pick","No points")))))</x:f>
      </x:c>
    </x:row>
    <x:row r="56">
      <x:c r="A56" s="60" t="n">
        <x:f>'Form Responses 1'!A56</x:f>
        <x:v>0</x:v>
      </x:c>
      <x:c r="B56" s="18" t="n">
        <x:f>'Form Responses 1'!B56</x:f>
        <x:v>0</x:v>
      </x:c>
      <x:c r="C56" s="18" t="n">
        <x:f>'Form Responses 1'!C56</x:f>
        <x:v>0</x:v>
      </x:c>
      <x:c r="D56" s="18" t="n">
        <x:f>'Form Responses 1'!D56</x:f>
        <x:v>0</x:v>
      </x:c>
      <x:c r="E56" s="18" t="n">
        <x:f>'Form Responses 1'!E56</x:f>
        <x:v>0</x:v>
      </x:c>
      <x:c r="F56" s="18" t="n">
        <x:f>'Form Responses 1'!F56</x:f>
        <x:v>0</x:v>
      </x:c>
      <x:c r="G56" s="18" t="n">
        <x:f>'Form Responses 1'!G56</x:f>
        <x:v>0</x:v>
      </x:c>
      <x:c r="H56" s="18" t="str">
        <x:f>IF($C56="","",IFERROR(VLOOKUP($C56,Matches!$A$2:$Q$200,5,FALSE),"Unknown"))</x:f>
      </x:c>
      <x:c r="I56" s="60" t="str">
        <x:f>IF($C56="","",IFERROR(VLOOKUP($C56,Matches!$A$2:$Q$200,16,FALSE),""))</x:f>
      </x:c>
      <x:c r="J56" s="18" t="str">
        <x:f>IF($C56="","",IFERROR(VLOOKUP($C56,Matches!$A$2:$Q$200,11,FALSE),""))</x:f>
      </x:c>
      <x:c r="K56" s="18" t="str">
        <x:f>IF($C56="","",IFERROR(VLOOKUP($C56,Matches!$A$2:$Q$200,12,FALSE),""))</x:f>
      </x:c>
      <x:c r="L56" s="18" t="str">
        <x:f>IF($A56="","",IF($C56=1,"Yes",IF(OR($I56="",$A56&lt;$I56),"Yes","Late")))</x:f>
      </x:c>
      <x:c r="M56" s="66" t="str">
        <x:f>IF($A56="","",IF($L56&lt;&gt;"Yes",0,IF($E56="",0,IF($J56="",0,IF($H56="Group",IF($E56=$J56,Setup!$H$2,Setup!$H$3),IF($E56=$K56,Setup!$H$2,Setup!$H$3))))))</x:f>
      </x:c>
      <x:c r="N56" s="66" t="str">
        <x:f>IF($A56="","",IF($L56&lt;&gt;"Yes",0,IF(OR($F56="",$G56=""),0,IF(AND($F56=VLOOKUP($C56,Matches!$A$2:$Q$200,9,FALSE),$G56=VLOOKUP($C56,Matches!$A$2:$Q$200,10,FALSE)),Setup!$H$5,0))))</x:f>
      </x:c>
      <x:c r="O56" s="66" t="str">
        <x:f>IF($A56="","",$M56+$N56)</x:f>
      </x:c>
      <x:c r="P56" s="18" t="str">
        <x:f>IF($A56="","",IF($L56="Late","Late - 0 points",IF($J56="","Waiting for result",IF($O56&gt;0,"Scored",IF($O56&lt;0,"Wrong pick","No points")))))</x:f>
      </x:c>
    </x:row>
    <x:row r="57">
      <x:c r="A57" s="60" t="n">
        <x:f>'Form Responses 1'!A57</x:f>
        <x:v>0</x:v>
      </x:c>
      <x:c r="B57" s="18" t="n">
        <x:f>'Form Responses 1'!B57</x:f>
        <x:v>0</x:v>
      </x:c>
      <x:c r="C57" s="18" t="n">
        <x:f>'Form Responses 1'!C57</x:f>
        <x:v>0</x:v>
      </x:c>
      <x:c r="D57" s="18" t="n">
        <x:f>'Form Responses 1'!D57</x:f>
        <x:v>0</x:v>
      </x:c>
      <x:c r="E57" s="18" t="n">
        <x:f>'Form Responses 1'!E57</x:f>
        <x:v>0</x:v>
      </x:c>
      <x:c r="F57" s="18" t="n">
        <x:f>'Form Responses 1'!F57</x:f>
        <x:v>0</x:v>
      </x:c>
      <x:c r="G57" s="18" t="n">
        <x:f>'Form Responses 1'!G57</x:f>
        <x:v>0</x:v>
      </x:c>
      <x:c r="H57" s="18" t="str">
        <x:f>IF($C57="","",IFERROR(VLOOKUP($C57,Matches!$A$2:$Q$200,5,FALSE),"Unknown"))</x:f>
      </x:c>
      <x:c r="I57" s="60" t="str">
        <x:f>IF($C57="","",IFERROR(VLOOKUP($C57,Matches!$A$2:$Q$200,16,FALSE),""))</x:f>
      </x:c>
      <x:c r="J57" s="18" t="str">
        <x:f>IF($C57="","",IFERROR(VLOOKUP($C57,Matches!$A$2:$Q$200,11,FALSE),""))</x:f>
      </x:c>
      <x:c r="K57" s="18" t="str">
        <x:f>IF($C57="","",IFERROR(VLOOKUP($C57,Matches!$A$2:$Q$200,12,FALSE),""))</x:f>
      </x:c>
      <x:c r="L57" s="18" t="str">
        <x:f>IF($A57="","",IF($C57=1,"Yes",IF(OR($I57="",$A57&lt;$I57),"Yes","Late")))</x:f>
      </x:c>
      <x:c r="M57" s="66" t="str">
        <x:f>IF($A57="","",IF($L57&lt;&gt;"Yes",0,IF($E57="",0,IF($J57="",0,IF($H57="Group",IF($E57=$J57,Setup!$H$2,Setup!$H$3),IF($E57=$K57,Setup!$H$2,Setup!$H$3))))))</x:f>
      </x:c>
      <x:c r="N57" s="66" t="str">
        <x:f>IF($A57="","",IF($L57&lt;&gt;"Yes",0,IF(OR($F57="",$G57=""),0,IF(AND($F57=VLOOKUP($C57,Matches!$A$2:$Q$200,9,FALSE),$G57=VLOOKUP($C57,Matches!$A$2:$Q$200,10,FALSE)),Setup!$H$5,0))))</x:f>
      </x:c>
      <x:c r="O57" s="66" t="str">
        <x:f>IF($A57="","",$M57+$N57)</x:f>
      </x:c>
      <x:c r="P57" s="18" t="str">
        <x:f>IF($A57="","",IF($L57="Late","Late - 0 points",IF($J57="","Waiting for result",IF($O57&gt;0,"Scored",IF($O57&lt;0,"Wrong pick","No points")))))</x:f>
      </x:c>
    </x:row>
    <x:row r="58">
      <x:c r="A58" s="60" t="n">
        <x:f>'Form Responses 1'!A58</x:f>
        <x:v>0</x:v>
      </x:c>
      <x:c r="B58" s="18" t="n">
        <x:f>'Form Responses 1'!B58</x:f>
        <x:v>0</x:v>
      </x:c>
      <x:c r="C58" s="18" t="n">
        <x:f>'Form Responses 1'!C58</x:f>
        <x:v>0</x:v>
      </x:c>
      <x:c r="D58" s="18" t="n">
        <x:f>'Form Responses 1'!D58</x:f>
        <x:v>0</x:v>
      </x:c>
      <x:c r="E58" s="18" t="n">
        <x:f>'Form Responses 1'!E58</x:f>
        <x:v>0</x:v>
      </x:c>
      <x:c r="F58" s="18" t="n">
        <x:f>'Form Responses 1'!F58</x:f>
        <x:v>0</x:v>
      </x:c>
      <x:c r="G58" s="18" t="n">
        <x:f>'Form Responses 1'!G58</x:f>
        <x:v>0</x:v>
      </x:c>
      <x:c r="H58" s="18" t="str">
        <x:f>IF($C58="","",IFERROR(VLOOKUP($C58,Matches!$A$2:$Q$200,5,FALSE),"Unknown"))</x:f>
      </x:c>
      <x:c r="I58" s="60" t="str">
        <x:f>IF($C58="","",IFERROR(VLOOKUP($C58,Matches!$A$2:$Q$200,16,FALSE),""))</x:f>
      </x:c>
      <x:c r="J58" s="18" t="str">
        <x:f>IF($C58="","",IFERROR(VLOOKUP($C58,Matches!$A$2:$Q$200,11,FALSE),""))</x:f>
      </x:c>
      <x:c r="K58" s="18" t="str">
        <x:f>IF($C58="","",IFERROR(VLOOKUP($C58,Matches!$A$2:$Q$200,12,FALSE),""))</x:f>
      </x:c>
      <x:c r="L58" s="18" t="str">
        <x:f>IF($A58="","",IF($C58=1,"Yes",IF(OR($I58="",$A58&lt;$I58),"Yes","Late")))</x:f>
      </x:c>
      <x:c r="M58" s="66" t="str">
        <x:f>IF($A58="","",IF($L58&lt;&gt;"Yes",0,IF($E58="",0,IF($J58="",0,IF($H58="Group",IF($E58=$J58,Setup!$H$2,Setup!$H$3),IF($E58=$K58,Setup!$H$2,Setup!$H$3))))))</x:f>
      </x:c>
      <x:c r="N58" s="66" t="str">
        <x:f>IF($A58="","",IF($L58&lt;&gt;"Yes",0,IF(OR($F58="",$G58=""),0,IF(AND($F58=VLOOKUP($C58,Matches!$A$2:$Q$200,9,FALSE),$G58=VLOOKUP($C58,Matches!$A$2:$Q$200,10,FALSE)),Setup!$H$5,0))))</x:f>
      </x:c>
      <x:c r="O58" s="66" t="str">
        <x:f>IF($A58="","",$M58+$N58)</x:f>
      </x:c>
      <x:c r="P58" s="18" t="str">
        <x:f>IF($A58="","",IF($L58="Late","Late - 0 points",IF($J58="","Waiting for result",IF($O58&gt;0,"Scored",IF($O58&lt;0,"Wrong pick","No points")))))</x:f>
      </x:c>
    </x:row>
    <x:row r="59">
      <x:c r="A59" s="60" t="n">
        <x:f>'Form Responses 1'!A59</x:f>
        <x:v>0</x:v>
      </x:c>
      <x:c r="B59" s="18" t="n">
        <x:f>'Form Responses 1'!B59</x:f>
        <x:v>0</x:v>
      </x:c>
      <x:c r="C59" s="18" t="n">
        <x:f>'Form Responses 1'!C59</x:f>
        <x:v>0</x:v>
      </x:c>
      <x:c r="D59" s="18" t="n">
        <x:f>'Form Responses 1'!D59</x:f>
        <x:v>0</x:v>
      </x:c>
      <x:c r="E59" s="18" t="n">
        <x:f>'Form Responses 1'!E59</x:f>
        <x:v>0</x:v>
      </x:c>
      <x:c r="F59" s="18" t="n">
        <x:f>'Form Responses 1'!F59</x:f>
        <x:v>0</x:v>
      </x:c>
      <x:c r="G59" s="18" t="n">
        <x:f>'Form Responses 1'!G59</x:f>
        <x:v>0</x:v>
      </x:c>
      <x:c r="H59" s="18" t="str">
        <x:f>IF($C59="","",IFERROR(VLOOKUP($C59,Matches!$A$2:$Q$200,5,FALSE),"Unknown"))</x:f>
      </x:c>
      <x:c r="I59" s="60" t="str">
        <x:f>IF($C59="","",IFERROR(VLOOKUP($C59,Matches!$A$2:$Q$200,16,FALSE),""))</x:f>
      </x:c>
      <x:c r="J59" s="18" t="str">
        <x:f>IF($C59="","",IFERROR(VLOOKUP($C59,Matches!$A$2:$Q$200,11,FALSE),""))</x:f>
      </x:c>
      <x:c r="K59" s="18" t="str">
        <x:f>IF($C59="","",IFERROR(VLOOKUP($C59,Matches!$A$2:$Q$200,12,FALSE),""))</x:f>
      </x:c>
      <x:c r="L59" s="18" t="str">
        <x:f>IF($A59="","",IF($C59=1,"Yes",IF(OR($I59="",$A59&lt;$I59),"Yes","Late")))</x:f>
      </x:c>
      <x:c r="M59" s="66" t="str">
        <x:f>IF($A59="","",IF($L59&lt;&gt;"Yes",0,IF($E59="",0,IF($J59="",0,IF($H59="Group",IF($E59=$J59,Setup!$H$2,Setup!$H$3),IF($E59=$K59,Setup!$H$2,Setup!$H$3))))))</x:f>
      </x:c>
      <x:c r="N59" s="66" t="str">
        <x:f>IF($A59="","",IF($L59&lt;&gt;"Yes",0,IF(OR($F59="",$G59=""),0,IF(AND($F59=VLOOKUP($C59,Matches!$A$2:$Q$200,9,FALSE),$G59=VLOOKUP($C59,Matches!$A$2:$Q$200,10,FALSE)),Setup!$H$5,0))))</x:f>
      </x:c>
      <x:c r="O59" s="66" t="str">
        <x:f>IF($A59="","",$M59+$N59)</x:f>
      </x:c>
      <x:c r="P59" s="18" t="str">
        <x:f>IF($A59="","",IF($L59="Late","Late - 0 points",IF($J59="","Waiting for result",IF($O59&gt;0,"Scored",IF($O59&lt;0,"Wrong pick","No points")))))</x:f>
      </x:c>
    </x:row>
    <x:row r="60">
      <x:c r="A60" s="60" t="n">
        <x:f>'Form Responses 1'!A60</x:f>
        <x:v>0</x:v>
      </x:c>
      <x:c r="B60" s="18" t="n">
        <x:f>'Form Responses 1'!B60</x:f>
        <x:v>0</x:v>
      </x:c>
      <x:c r="C60" s="18" t="n">
        <x:f>'Form Responses 1'!C60</x:f>
        <x:v>0</x:v>
      </x:c>
      <x:c r="D60" s="18" t="n">
        <x:f>'Form Responses 1'!D60</x:f>
        <x:v>0</x:v>
      </x:c>
      <x:c r="E60" s="18" t="n">
        <x:f>'Form Responses 1'!E60</x:f>
        <x:v>0</x:v>
      </x:c>
      <x:c r="F60" s="18" t="n">
        <x:f>'Form Responses 1'!F60</x:f>
        <x:v>0</x:v>
      </x:c>
      <x:c r="G60" s="18" t="n">
        <x:f>'Form Responses 1'!G60</x:f>
        <x:v>0</x:v>
      </x:c>
      <x:c r="H60" s="18" t="str">
        <x:f>IF($C60="","",IFERROR(VLOOKUP($C60,Matches!$A$2:$Q$200,5,FALSE),"Unknown"))</x:f>
      </x:c>
      <x:c r="I60" s="60" t="str">
        <x:f>IF($C60="","",IFERROR(VLOOKUP($C60,Matches!$A$2:$Q$200,16,FALSE),""))</x:f>
      </x:c>
      <x:c r="J60" s="18" t="str">
        <x:f>IF($C60="","",IFERROR(VLOOKUP($C60,Matches!$A$2:$Q$200,11,FALSE),""))</x:f>
      </x:c>
      <x:c r="K60" s="18" t="str">
        <x:f>IF($C60="","",IFERROR(VLOOKUP($C60,Matches!$A$2:$Q$200,12,FALSE),""))</x:f>
      </x:c>
      <x:c r="L60" s="18" t="str">
        <x:f>IF($A60="","",IF($C60=1,"Yes",IF(OR($I60="",$A60&lt;$I60),"Yes","Late")))</x:f>
      </x:c>
      <x:c r="M60" s="66" t="str">
        <x:f>IF($A60="","",IF($L60&lt;&gt;"Yes",0,IF($E60="",0,IF($J60="",0,IF($H60="Group",IF($E60=$J60,Setup!$H$2,Setup!$H$3),IF($E60=$K60,Setup!$H$2,Setup!$H$3))))))</x:f>
      </x:c>
      <x:c r="N60" s="66" t="str">
        <x:f>IF($A60="","",IF($L60&lt;&gt;"Yes",0,IF(OR($F60="",$G60=""),0,IF(AND($F60=VLOOKUP($C60,Matches!$A$2:$Q$200,9,FALSE),$G60=VLOOKUP($C60,Matches!$A$2:$Q$200,10,FALSE)),Setup!$H$5,0))))</x:f>
      </x:c>
      <x:c r="O60" s="66" t="str">
        <x:f>IF($A60="","",$M60+$N60)</x:f>
      </x:c>
      <x:c r="P60" s="18" t="str">
        <x:f>IF($A60="","",IF($L60="Late","Late - 0 points",IF($J60="","Waiting for result",IF($O60&gt;0,"Scored",IF($O60&lt;0,"Wrong pick","No points")))))</x:f>
      </x:c>
    </x:row>
    <x:row r="61">
      <x:c r="A61" s="60" t="n">
        <x:f>'Form Responses 1'!A61</x:f>
        <x:v>0</x:v>
      </x:c>
      <x:c r="B61" s="18" t="n">
        <x:f>'Form Responses 1'!B61</x:f>
        <x:v>0</x:v>
      </x:c>
      <x:c r="C61" s="18" t="n">
        <x:f>'Form Responses 1'!C61</x:f>
        <x:v>0</x:v>
      </x:c>
      <x:c r="D61" s="18" t="n">
        <x:f>'Form Responses 1'!D61</x:f>
        <x:v>0</x:v>
      </x:c>
      <x:c r="E61" s="18" t="n">
        <x:f>'Form Responses 1'!E61</x:f>
        <x:v>0</x:v>
      </x:c>
      <x:c r="F61" s="18" t="n">
        <x:f>'Form Responses 1'!F61</x:f>
        <x:v>0</x:v>
      </x:c>
      <x:c r="G61" s="18" t="n">
        <x:f>'Form Responses 1'!G61</x:f>
        <x:v>0</x:v>
      </x:c>
      <x:c r="H61" s="18" t="str">
        <x:f>IF($C61="","",IFERROR(VLOOKUP($C61,Matches!$A$2:$Q$200,5,FALSE),"Unknown"))</x:f>
      </x:c>
      <x:c r="I61" s="60" t="str">
        <x:f>IF($C61="","",IFERROR(VLOOKUP($C61,Matches!$A$2:$Q$200,16,FALSE),""))</x:f>
      </x:c>
      <x:c r="J61" s="18" t="str">
        <x:f>IF($C61="","",IFERROR(VLOOKUP($C61,Matches!$A$2:$Q$200,11,FALSE),""))</x:f>
      </x:c>
      <x:c r="K61" s="18" t="str">
        <x:f>IF($C61="","",IFERROR(VLOOKUP($C61,Matches!$A$2:$Q$200,12,FALSE),""))</x:f>
      </x:c>
      <x:c r="L61" s="18" t="str">
        <x:f>IF($A61="","",IF($C61=1,"Yes",IF(OR($I61="",$A61&lt;$I61),"Yes","Late")))</x:f>
      </x:c>
      <x:c r="M61" s="66" t="str">
        <x:f>IF($A61="","",IF($L61&lt;&gt;"Yes",0,IF($E61="",0,IF($J61="",0,IF($H61="Group",IF($E61=$J61,Setup!$H$2,Setup!$H$3),IF($E61=$K61,Setup!$H$2,Setup!$H$3))))))</x:f>
      </x:c>
      <x:c r="N61" s="66" t="str">
        <x:f>IF($A61="","",IF($L61&lt;&gt;"Yes",0,IF(OR($F61="",$G61=""),0,IF(AND($F61=VLOOKUP($C61,Matches!$A$2:$Q$200,9,FALSE),$G61=VLOOKUP($C61,Matches!$A$2:$Q$200,10,FALSE)),Setup!$H$5,0))))</x:f>
      </x:c>
      <x:c r="O61" s="66" t="str">
        <x:f>IF($A61="","",$M61+$N61)</x:f>
      </x:c>
      <x:c r="P61" s="18" t="str">
        <x:f>IF($A61="","",IF($L61="Late","Late - 0 points",IF($J61="","Waiting for result",IF($O61&gt;0,"Scored",IF($O61&lt;0,"Wrong pick","No points")))))</x:f>
      </x:c>
    </x:row>
    <x:row r="62">
      <x:c r="A62" s="60" t="n">
        <x:f>'Form Responses 1'!A62</x:f>
        <x:v>0</x:v>
      </x:c>
      <x:c r="B62" s="18" t="n">
        <x:f>'Form Responses 1'!B62</x:f>
        <x:v>0</x:v>
      </x:c>
      <x:c r="C62" s="18" t="n">
        <x:f>'Form Responses 1'!C62</x:f>
        <x:v>0</x:v>
      </x:c>
      <x:c r="D62" s="18" t="n">
        <x:f>'Form Responses 1'!D62</x:f>
        <x:v>0</x:v>
      </x:c>
      <x:c r="E62" s="18" t="n">
        <x:f>'Form Responses 1'!E62</x:f>
        <x:v>0</x:v>
      </x:c>
      <x:c r="F62" s="18" t="n">
        <x:f>'Form Responses 1'!F62</x:f>
        <x:v>0</x:v>
      </x:c>
      <x:c r="G62" s="18" t="n">
        <x:f>'Form Responses 1'!G62</x:f>
        <x:v>0</x:v>
      </x:c>
      <x:c r="H62" s="18" t="str">
        <x:f>IF($C62="","",IFERROR(VLOOKUP($C62,Matches!$A$2:$Q$200,5,FALSE),"Unknown"))</x:f>
      </x:c>
      <x:c r="I62" s="60" t="str">
        <x:f>IF($C62="","",IFERROR(VLOOKUP($C62,Matches!$A$2:$Q$200,16,FALSE),""))</x:f>
      </x:c>
      <x:c r="J62" s="18" t="str">
        <x:f>IF($C62="","",IFERROR(VLOOKUP($C62,Matches!$A$2:$Q$200,11,FALSE),""))</x:f>
      </x:c>
      <x:c r="K62" s="18" t="str">
        <x:f>IF($C62="","",IFERROR(VLOOKUP($C62,Matches!$A$2:$Q$200,12,FALSE),""))</x:f>
      </x:c>
      <x:c r="L62" s="18" t="str">
        <x:f>IF($A62="","",IF($C62=1,"Yes",IF(OR($I62="",$A62&lt;$I62),"Yes","Late")))</x:f>
      </x:c>
      <x:c r="M62" s="66" t="str">
        <x:f>IF($A62="","",IF($L62&lt;&gt;"Yes",0,IF($E62="",0,IF($J62="",0,IF($H62="Group",IF($E62=$J62,Setup!$H$2,Setup!$H$3),IF($E62=$K62,Setup!$H$2,Setup!$H$3))))))</x:f>
      </x:c>
      <x:c r="N62" s="66" t="str">
        <x:f>IF($A62="","",IF($L62&lt;&gt;"Yes",0,IF(OR($F62="",$G62=""),0,IF(AND($F62=VLOOKUP($C62,Matches!$A$2:$Q$200,9,FALSE),$G62=VLOOKUP($C62,Matches!$A$2:$Q$200,10,FALSE)),Setup!$H$5,0))))</x:f>
      </x:c>
      <x:c r="O62" s="66" t="str">
        <x:f>IF($A62="","",$M62+$N62)</x:f>
      </x:c>
      <x:c r="P62" s="18" t="str">
        <x:f>IF($A62="","",IF($L62="Late","Late - 0 points",IF($J62="","Waiting for result",IF($O62&gt;0,"Scored",IF($O62&lt;0,"Wrong pick","No points")))))</x:f>
      </x:c>
    </x:row>
    <x:row r="63">
      <x:c r="A63" s="60" t="n">
        <x:f>'Form Responses 1'!A63</x:f>
        <x:v>0</x:v>
      </x:c>
      <x:c r="B63" s="18" t="n">
        <x:f>'Form Responses 1'!B63</x:f>
        <x:v>0</x:v>
      </x:c>
      <x:c r="C63" s="18" t="n">
        <x:f>'Form Responses 1'!C63</x:f>
        <x:v>0</x:v>
      </x:c>
      <x:c r="D63" s="18" t="n">
        <x:f>'Form Responses 1'!D63</x:f>
        <x:v>0</x:v>
      </x:c>
      <x:c r="E63" s="18" t="n">
        <x:f>'Form Responses 1'!E63</x:f>
        <x:v>0</x:v>
      </x:c>
      <x:c r="F63" s="18" t="n">
        <x:f>'Form Responses 1'!F63</x:f>
        <x:v>0</x:v>
      </x:c>
      <x:c r="G63" s="18" t="n">
        <x:f>'Form Responses 1'!G63</x:f>
        <x:v>0</x:v>
      </x:c>
      <x:c r="H63" s="18" t="str">
        <x:f>IF($C63="","",IFERROR(VLOOKUP($C63,Matches!$A$2:$Q$200,5,FALSE),"Unknown"))</x:f>
      </x:c>
      <x:c r="I63" s="60" t="str">
        <x:f>IF($C63="","",IFERROR(VLOOKUP($C63,Matches!$A$2:$Q$200,16,FALSE),""))</x:f>
      </x:c>
      <x:c r="J63" s="18" t="str">
        <x:f>IF($C63="","",IFERROR(VLOOKUP($C63,Matches!$A$2:$Q$200,11,FALSE),""))</x:f>
      </x:c>
      <x:c r="K63" s="18" t="str">
        <x:f>IF($C63="","",IFERROR(VLOOKUP($C63,Matches!$A$2:$Q$200,12,FALSE),""))</x:f>
      </x:c>
      <x:c r="L63" s="18" t="str">
        <x:f>IF($A63="","",IF($C63=1,"Yes",IF(OR($I63="",$A63&lt;$I63),"Yes","Late")))</x:f>
      </x:c>
      <x:c r="M63" s="66" t="str">
        <x:f>IF($A63="","",IF($L63&lt;&gt;"Yes",0,IF($E63="",0,IF($J63="",0,IF($H63="Group",IF($E63=$J63,Setup!$H$2,Setup!$H$3),IF($E63=$K63,Setup!$H$2,Setup!$H$3))))))</x:f>
      </x:c>
      <x:c r="N63" s="66" t="str">
        <x:f>IF($A63="","",IF($L63&lt;&gt;"Yes",0,IF(OR($F63="",$G63=""),0,IF(AND($F63=VLOOKUP($C63,Matches!$A$2:$Q$200,9,FALSE),$G63=VLOOKUP($C63,Matches!$A$2:$Q$200,10,FALSE)),Setup!$H$5,0))))</x:f>
      </x:c>
      <x:c r="O63" s="66" t="str">
        <x:f>IF($A63="","",$M63+$N63)</x:f>
      </x:c>
      <x:c r="P63" s="18" t="str">
        <x:f>IF($A63="","",IF($L63="Late","Late - 0 points",IF($J63="","Waiting for result",IF($O63&gt;0,"Scored",IF($O63&lt;0,"Wrong pick","No points")))))</x:f>
      </x:c>
    </x:row>
    <x:row r="64">
      <x:c r="A64" s="60" t="n">
        <x:f>'Form Responses 1'!A64</x:f>
        <x:v>0</x:v>
      </x:c>
      <x:c r="B64" s="18" t="n">
        <x:f>'Form Responses 1'!B64</x:f>
        <x:v>0</x:v>
      </x:c>
      <x:c r="C64" s="18" t="n">
        <x:f>'Form Responses 1'!C64</x:f>
        <x:v>0</x:v>
      </x:c>
      <x:c r="D64" s="18" t="n">
        <x:f>'Form Responses 1'!D64</x:f>
        <x:v>0</x:v>
      </x:c>
      <x:c r="E64" s="18" t="n">
        <x:f>'Form Responses 1'!E64</x:f>
        <x:v>0</x:v>
      </x:c>
      <x:c r="F64" s="18" t="n">
        <x:f>'Form Responses 1'!F64</x:f>
        <x:v>0</x:v>
      </x:c>
      <x:c r="G64" s="18" t="n">
        <x:f>'Form Responses 1'!G64</x:f>
        <x:v>0</x:v>
      </x:c>
      <x:c r="H64" s="18" t="str">
        <x:f>IF($C64="","",IFERROR(VLOOKUP($C64,Matches!$A$2:$Q$200,5,FALSE),"Unknown"))</x:f>
      </x:c>
      <x:c r="I64" s="60" t="str">
        <x:f>IF($C64="","",IFERROR(VLOOKUP($C64,Matches!$A$2:$Q$200,16,FALSE),""))</x:f>
      </x:c>
      <x:c r="J64" s="18" t="str">
        <x:f>IF($C64="","",IFERROR(VLOOKUP($C64,Matches!$A$2:$Q$200,11,FALSE),""))</x:f>
      </x:c>
      <x:c r="K64" s="18" t="str">
        <x:f>IF($C64="","",IFERROR(VLOOKUP($C64,Matches!$A$2:$Q$200,12,FALSE),""))</x:f>
      </x:c>
      <x:c r="L64" s="18" t="str">
        <x:f>IF($A64="","",IF($C64=1,"Yes",IF(OR($I64="",$A64&lt;$I64),"Yes","Late")))</x:f>
      </x:c>
      <x:c r="M64" s="66" t="str">
        <x:f>IF($A64="","",IF($L64&lt;&gt;"Yes",0,IF($E64="",0,IF($J64="",0,IF($H64="Group",IF($E64=$J64,Setup!$H$2,Setup!$H$3),IF($E64=$K64,Setup!$H$2,Setup!$H$3))))))</x:f>
      </x:c>
      <x:c r="N64" s="66" t="str">
        <x:f>IF($A64="","",IF($L64&lt;&gt;"Yes",0,IF(OR($F64="",$G64=""),0,IF(AND($F64=VLOOKUP($C64,Matches!$A$2:$Q$200,9,FALSE),$G64=VLOOKUP($C64,Matches!$A$2:$Q$200,10,FALSE)),Setup!$H$5,0))))</x:f>
      </x:c>
      <x:c r="O64" s="66" t="str">
        <x:f>IF($A64="","",$M64+$N64)</x:f>
      </x:c>
      <x:c r="P64" s="18" t="str">
        <x:f>IF($A64="","",IF($L64="Late","Late - 0 points",IF($J64="","Waiting for result",IF($O64&gt;0,"Scored",IF($O64&lt;0,"Wrong pick","No points")))))</x:f>
      </x:c>
    </x:row>
    <x:row r="65">
      <x:c r="A65" s="60" t="n">
        <x:f>'Form Responses 1'!A65</x:f>
        <x:v>0</x:v>
      </x:c>
      <x:c r="B65" s="18" t="n">
        <x:f>'Form Responses 1'!B65</x:f>
        <x:v>0</x:v>
      </x:c>
      <x:c r="C65" s="18" t="n">
        <x:f>'Form Responses 1'!C65</x:f>
        <x:v>0</x:v>
      </x:c>
      <x:c r="D65" s="18" t="n">
        <x:f>'Form Responses 1'!D65</x:f>
        <x:v>0</x:v>
      </x:c>
      <x:c r="E65" s="18" t="n">
        <x:f>'Form Responses 1'!E65</x:f>
        <x:v>0</x:v>
      </x:c>
      <x:c r="F65" s="18" t="n">
        <x:f>'Form Responses 1'!F65</x:f>
        <x:v>0</x:v>
      </x:c>
      <x:c r="G65" s="18" t="n">
        <x:f>'Form Responses 1'!G65</x:f>
        <x:v>0</x:v>
      </x:c>
      <x:c r="H65" s="18" t="str">
        <x:f>IF($C65="","",IFERROR(VLOOKUP($C65,Matches!$A$2:$Q$200,5,FALSE),"Unknown"))</x:f>
      </x:c>
      <x:c r="I65" s="60" t="str">
        <x:f>IF($C65="","",IFERROR(VLOOKUP($C65,Matches!$A$2:$Q$200,16,FALSE),""))</x:f>
      </x:c>
      <x:c r="J65" s="18" t="str">
        <x:f>IF($C65="","",IFERROR(VLOOKUP($C65,Matches!$A$2:$Q$200,11,FALSE),""))</x:f>
      </x:c>
      <x:c r="K65" s="18" t="str">
        <x:f>IF($C65="","",IFERROR(VLOOKUP($C65,Matches!$A$2:$Q$200,12,FALSE),""))</x:f>
      </x:c>
      <x:c r="L65" s="18" t="str">
        <x:f>IF($A65="","",IF($C65=1,"Yes",IF(OR($I65="",$A65&lt;$I65),"Yes","Late")))</x:f>
      </x:c>
      <x:c r="M65" s="66" t="str">
        <x:f>IF($A65="","",IF($L65&lt;&gt;"Yes",0,IF($E65="",0,IF($J65="",0,IF($H65="Group",IF($E65=$J65,Setup!$H$2,Setup!$H$3),IF($E65=$K65,Setup!$H$2,Setup!$H$3))))))</x:f>
      </x:c>
      <x:c r="N65" s="66" t="str">
        <x:f>IF($A65="","",IF($L65&lt;&gt;"Yes",0,IF(OR($F65="",$G65=""),0,IF(AND($F65=VLOOKUP($C65,Matches!$A$2:$Q$200,9,FALSE),$G65=VLOOKUP($C65,Matches!$A$2:$Q$200,10,FALSE)),Setup!$H$5,0))))</x:f>
      </x:c>
      <x:c r="O65" s="66" t="str">
        <x:f>IF($A65="","",$M65+$N65)</x:f>
      </x:c>
      <x:c r="P65" s="18" t="str">
        <x:f>IF($A65="","",IF($L65="Late","Late - 0 points",IF($J65="","Waiting for result",IF($O65&gt;0,"Scored",IF($O65&lt;0,"Wrong pick","No points")))))</x:f>
      </x:c>
    </x:row>
    <x:row r="66">
      <x:c r="A66" s="60" t="n">
        <x:f>'Form Responses 1'!A66</x:f>
        <x:v>0</x:v>
      </x:c>
      <x:c r="B66" s="18" t="n">
        <x:f>'Form Responses 1'!B66</x:f>
        <x:v>0</x:v>
      </x:c>
      <x:c r="C66" s="18" t="n">
        <x:f>'Form Responses 1'!C66</x:f>
        <x:v>0</x:v>
      </x:c>
      <x:c r="D66" s="18" t="n">
        <x:f>'Form Responses 1'!D66</x:f>
        <x:v>0</x:v>
      </x:c>
      <x:c r="E66" s="18" t="n">
        <x:f>'Form Responses 1'!E66</x:f>
        <x:v>0</x:v>
      </x:c>
      <x:c r="F66" s="18" t="n">
        <x:f>'Form Responses 1'!F66</x:f>
        <x:v>0</x:v>
      </x:c>
      <x:c r="G66" s="18" t="n">
        <x:f>'Form Responses 1'!G66</x:f>
        <x:v>0</x:v>
      </x:c>
      <x:c r="H66" s="18" t="str">
        <x:f>IF($C66="","",IFERROR(VLOOKUP($C66,Matches!$A$2:$Q$200,5,FALSE),"Unknown"))</x:f>
      </x:c>
      <x:c r="I66" s="60" t="str">
        <x:f>IF($C66="","",IFERROR(VLOOKUP($C66,Matches!$A$2:$Q$200,16,FALSE),""))</x:f>
      </x:c>
      <x:c r="J66" s="18" t="str">
        <x:f>IF($C66="","",IFERROR(VLOOKUP($C66,Matches!$A$2:$Q$200,11,FALSE),""))</x:f>
      </x:c>
      <x:c r="K66" s="18" t="str">
        <x:f>IF($C66="","",IFERROR(VLOOKUP($C66,Matches!$A$2:$Q$200,12,FALSE),""))</x:f>
      </x:c>
      <x:c r="L66" s="18" t="str">
        <x:f>IF($A66="","",IF($C66=1,"Yes",IF(OR($I66="",$A66&lt;$I66),"Yes","Late")))</x:f>
      </x:c>
      <x:c r="M66" s="66" t="str">
        <x:f>IF($A66="","",IF($L66&lt;&gt;"Yes",0,IF($E66="",0,IF($J66="",0,IF($H66="Group",IF($E66=$J66,Setup!$H$2,Setup!$H$3),IF($E66=$K66,Setup!$H$2,Setup!$H$3))))))</x:f>
      </x:c>
      <x:c r="N66" s="66" t="str">
        <x:f>IF($A66="","",IF($L66&lt;&gt;"Yes",0,IF(OR($F66="",$G66=""),0,IF(AND($F66=VLOOKUP($C66,Matches!$A$2:$Q$200,9,FALSE),$G66=VLOOKUP($C66,Matches!$A$2:$Q$200,10,FALSE)),Setup!$H$5,0))))</x:f>
      </x:c>
      <x:c r="O66" s="66" t="str">
        <x:f>IF($A66="","",$M66+$N66)</x:f>
      </x:c>
      <x:c r="P66" s="18" t="str">
        <x:f>IF($A66="","",IF($L66="Late","Late - 0 points",IF($J66="","Waiting for result",IF($O66&gt;0,"Scored",IF($O66&lt;0,"Wrong pick","No points")))))</x:f>
      </x:c>
    </x:row>
    <x:row r="67">
      <x:c r="A67" s="60" t="n">
        <x:f>'Form Responses 1'!A67</x:f>
        <x:v>0</x:v>
      </x:c>
      <x:c r="B67" s="18" t="n">
        <x:f>'Form Responses 1'!B67</x:f>
        <x:v>0</x:v>
      </x:c>
      <x:c r="C67" s="18" t="n">
        <x:f>'Form Responses 1'!C67</x:f>
        <x:v>0</x:v>
      </x:c>
      <x:c r="D67" s="18" t="n">
        <x:f>'Form Responses 1'!D67</x:f>
        <x:v>0</x:v>
      </x:c>
      <x:c r="E67" s="18" t="n">
        <x:f>'Form Responses 1'!E67</x:f>
        <x:v>0</x:v>
      </x:c>
      <x:c r="F67" s="18" t="n">
        <x:f>'Form Responses 1'!F67</x:f>
        <x:v>0</x:v>
      </x:c>
      <x:c r="G67" s="18" t="n">
        <x:f>'Form Responses 1'!G67</x:f>
        <x:v>0</x:v>
      </x:c>
      <x:c r="H67" s="18" t="str">
        <x:f>IF($C67="","",IFERROR(VLOOKUP($C67,Matches!$A$2:$Q$200,5,FALSE),"Unknown"))</x:f>
      </x:c>
      <x:c r="I67" s="60" t="str">
        <x:f>IF($C67="","",IFERROR(VLOOKUP($C67,Matches!$A$2:$Q$200,16,FALSE),""))</x:f>
      </x:c>
      <x:c r="J67" s="18" t="str">
        <x:f>IF($C67="","",IFERROR(VLOOKUP($C67,Matches!$A$2:$Q$200,11,FALSE),""))</x:f>
      </x:c>
      <x:c r="K67" s="18" t="str">
        <x:f>IF($C67="","",IFERROR(VLOOKUP($C67,Matches!$A$2:$Q$200,12,FALSE),""))</x:f>
      </x:c>
      <x:c r="L67" s="18" t="str">
        <x:f>IF($A67="","",IF($C67=1,"Yes",IF(OR($I67="",$A67&lt;$I67),"Yes","Late")))</x:f>
      </x:c>
      <x:c r="M67" s="66" t="str">
        <x:f>IF($A67="","",IF($L67&lt;&gt;"Yes",0,IF($E67="",0,IF($J67="",0,IF($H67="Group",IF($E67=$J67,Setup!$H$2,Setup!$H$3),IF($E67=$K67,Setup!$H$2,Setup!$H$3))))))</x:f>
      </x:c>
      <x:c r="N67" s="66" t="str">
        <x:f>IF($A67="","",IF($L67&lt;&gt;"Yes",0,IF(OR($F67="",$G67=""),0,IF(AND($F67=VLOOKUP($C67,Matches!$A$2:$Q$200,9,FALSE),$G67=VLOOKUP($C67,Matches!$A$2:$Q$200,10,FALSE)),Setup!$H$5,0))))</x:f>
      </x:c>
      <x:c r="O67" s="66" t="str">
        <x:f>IF($A67="","",$M67+$N67)</x:f>
      </x:c>
      <x:c r="P67" s="18" t="str">
        <x:f>IF($A67="","",IF($L67="Late","Late - 0 points",IF($J67="","Waiting for result",IF($O67&gt;0,"Scored",IF($O67&lt;0,"Wrong pick","No points")))))</x:f>
      </x:c>
    </x:row>
    <x:row r="68">
      <x:c r="A68" s="60" t="n">
        <x:f>'Form Responses 1'!A68</x:f>
        <x:v>0</x:v>
      </x:c>
      <x:c r="B68" s="18" t="n">
        <x:f>'Form Responses 1'!B68</x:f>
        <x:v>0</x:v>
      </x:c>
      <x:c r="C68" s="18" t="n">
        <x:f>'Form Responses 1'!C68</x:f>
        <x:v>0</x:v>
      </x:c>
      <x:c r="D68" s="18" t="n">
        <x:f>'Form Responses 1'!D68</x:f>
        <x:v>0</x:v>
      </x:c>
      <x:c r="E68" s="18" t="n">
        <x:f>'Form Responses 1'!E68</x:f>
        <x:v>0</x:v>
      </x:c>
      <x:c r="F68" s="18" t="n">
        <x:f>'Form Responses 1'!F68</x:f>
        <x:v>0</x:v>
      </x:c>
      <x:c r="G68" s="18" t="n">
        <x:f>'Form Responses 1'!G68</x:f>
        <x:v>0</x:v>
      </x:c>
      <x:c r="H68" s="18" t="str">
        <x:f>IF($C68="","",IFERROR(VLOOKUP($C68,Matches!$A$2:$Q$200,5,FALSE),"Unknown"))</x:f>
      </x:c>
      <x:c r="I68" s="60" t="str">
        <x:f>IF($C68="","",IFERROR(VLOOKUP($C68,Matches!$A$2:$Q$200,16,FALSE),""))</x:f>
      </x:c>
      <x:c r="J68" s="18" t="str">
        <x:f>IF($C68="","",IFERROR(VLOOKUP($C68,Matches!$A$2:$Q$200,11,FALSE),""))</x:f>
      </x:c>
      <x:c r="K68" s="18" t="str">
        <x:f>IF($C68="","",IFERROR(VLOOKUP($C68,Matches!$A$2:$Q$200,12,FALSE),""))</x:f>
      </x:c>
      <x:c r="L68" s="18" t="str">
        <x:f>IF($A68="","",IF($C68=1,"Yes",IF(OR($I68="",$A68&lt;$I68),"Yes","Late")))</x:f>
      </x:c>
      <x:c r="M68" s="66" t="str">
        <x:f>IF($A68="","",IF($L68&lt;&gt;"Yes",0,IF($E68="",0,IF($J68="",0,IF($H68="Group",IF($E68=$J68,Setup!$H$2,Setup!$H$3),IF($E68=$K68,Setup!$H$2,Setup!$H$3))))))</x:f>
      </x:c>
      <x:c r="N68" s="66" t="str">
        <x:f>IF($A68="","",IF($L68&lt;&gt;"Yes",0,IF(OR($F68="",$G68=""),0,IF(AND($F68=VLOOKUP($C68,Matches!$A$2:$Q$200,9,FALSE),$G68=VLOOKUP($C68,Matches!$A$2:$Q$200,10,FALSE)),Setup!$H$5,0))))</x:f>
      </x:c>
      <x:c r="O68" s="66" t="str">
        <x:f>IF($A68="","",$M68+$N68)</x:f>
      </x:c>
      <x:c r="P68" s="18" t="str">
        <x:f>IF($A68="","",IF($L68="Late","Late - 0 points",IF($J68="","Waiting for result",IF($O68&gt;0,"Scored",IF($O68&lt;0,"Wrong pick","No points")))))</x:f>
      </x:c>
    </x:row>
    <x:row r="69">
      <x:c r="A69" s="60" t="n">
        <x:f>'Form Responses 1'!A69</x:f>
        <x:v>0</x:v>
      </x:c>
      <x:c r="B69" s="18" t="n">
        <x:f>'Form Responses 1'!B69</x:f>
        <x:v>0</x:v>
      </x:c>
      <x:c r="C69" s="18" t="n">
        <x:f>'Form Responses 1'!C69</x:f>
        <x:v>0</x:v>
      </x:c>
      <x:c r="D69" s="18" t="n">
        <x:f>'Form Responses 1'!D69</x:f>
        <x:v>0</x:v>
      </x:c>
      <x:c r="E69" s="18" t="n">
        <x:f>'Form Responses 1'!E69</x:f>
        <x:v>0</x:v>
      </x:c>
      <x:c r="F69" s="18" t="n">
        <x:f>'Form Responses 1'!F69</x:f>
        <x:v>0</x:v>
      </x:c>
      <x:c r="G69" s="18" t="n">
        <x:f>'Form Responses 1'!G69</x:f>
        <x:v>0</x:v>
      </x:c>
      <x:c r="H69" s="18" t="str">
        <x:f>IF($C69="","",IFERROR(VLOOKUP($C69,Matches!$A$2:$Q$200,5,FALSE),"Unknown"))</x:f>
      </x:c>
      <x:c r="I69" s="60" t="str">
        <x:f>IF($C69="","",IFERROR(VLOOKUP($C69,Matches!$A$2:$Q$200,16,FALSE),""))</x:f>
      </x:c>
      <x:c r="J69" s="18" t="str">
        <x:f>IF($C69="","",IFERROR(VLOOKUP($C69,Matches!$A$2:$Q$200,11,FALSE),""))</x:f>
      </x:c>
      <x:c r="K69" s="18" t="str">
        <x:f>IF($C69="","",IFERROR(VLOOKUP($C69,Matches!$A$2:$Q$200,12,FALSE),""))</x:f>
      </x:c>
      <x:c r="L69" s="18" t="str">
        <x:f>IF($A69="","",IF($C69=1,"Yes",IF(OR($I69="",$A69&lt;$I69),"Yes","Late")))</x:f>
      </x:c>
      <x:c r="M69" s="66" t="str">
        <x:f>IF($A69="","",IF($L69&lt;&gt;"Yes",0,IF($E69="",0,IF($J69="",0,IF($H69="Group",IF($E69=$J69,Setup!$H$2,Setup!$H$3),IF($E69=$K69,Setup!$H$2,Setup!$H$3))))))</x:f>
      </x:c>
      <x:c r="N69" s="66" t="str">
        <x:f>IF($A69="","",IF($L69&lt;&gt;"Yes",0,IF(OR($F69="",$G69=""),0,IF(AND($F69=VLOOKUP($C69,Matches!$A$2:$Q$200,9,FALSE),$G69=VLOOKUP($C69,Matches!$A$2:$Q$200,10,FALSE)),Setup!$H$5,0))))</x:f>
      </x:c>
      <x:c r="O69" s="66" t="str">
        <x:f>IF($A69="","",$M69+$N69)</x:f>
      </x:c>
      <x:c r="P69" s="18" t="str">
        <x:f>IF($A69="","",IF($L69="Late","Late - 0 points",IF($J69="","Waiting for result",IF($O69&gt;0,"Scored",IF($O69&lt;0,"Wrong pick","No points")))))</x:f>
      </x:c>
    </x:row>
    <x:row r="70">
      <x:c r="A70" s="60" t="n">
        <x:f>'Form Responses 1'!A70</x:f>
        <x:v>0</x:v>
      </x:c>
      <x:c r="B70" s="18" t="n">
        <x:f>'Form Responses 1'!B70</x:f>
        <x:v>0</x:v>
      </x:c>
      <x:c r="C70" s="18" t="n">
        <x:f>'Form Responses 1'!C70</x:f>
        <x:v>0</x:v>
      </x:c>
      <x:c r="D70" s="18" t="n">
        <x:f>'Form Responses 1'!D70</x:f>
        <x:v>0</x:v>
      </x:c>
      <x:c r="E70" s="18" t="n">
        <x:f>'Form Responses 1'!E70</x:f>
        <x:v>0</x:v>
      </x:c>
      <x:c r="F70" s="18" t="n">
        <x:f>'Form Responses 1'!F70</x:f>
        <x:v>0</x:v>
      </x:c>
      <x:c r="G70" s="18" t="n">
        <x:f>'Form Responses 1'!G70</x:f>
        <x:v>0</x:v>
      </x:c>
      <x:c r="H70" s="18" t="str">
        <x:f>IF($C70="","",IFERROR(VLOOKUP($C70,Matches!$A$2:$Q$200,5,FALSE),"Unknown"))</x:f>
      </x:c>
      <x:c r="I70" s="60" t="str">
        <x:f>IF($C70="","",IFERROR(VLOOKUP($C70,Matches!$A$2:$Q$200,16,FALSE),""))</x:f>
      </x:c>
      <x:c r="J70" s="18" t="str">
        <x:f>IF($C70="","",IFERROR(VLOOKUP($C70,Matches!$A$2:$Q$200,11,FALSE),""))</x:f>
      </x:c>
      <x:c r="K70" s="18" t="str">
        <x:f>IF($C70="","",IFERROR(VLOOKUP($C70,Matches!$A$2:$Q$200,12,FALSE),""))</x:f>
      </x:c>
      <x:c r="L70" s="18" t="str">
        <x:f>IF($A70="","",IF($C70=1,"Yes",IF(OR($I70="",$A70&lt;$I70),"Yes","Late")))</x:f>
      </x:c>
      <x:c r="M70" s="66" t="str">
        <x:f>IF($A70="","",IF($L70&lt;&gt;"Yes",0,IF($E70="",0,IF($J70="",0,IF($H70="Group",IF($E70=$J70,Setup!$H$2,Setup!$H$3),IF($E70=$K70,Setup!$H$2,Setup!$H$3))))))</x:f>
      </x:c>
      <x:c r="N70" s="66" t="str">
        <x:f>IF($A70="","",IF($L70&lt;&gt;"Yes",0,IF(OR($F70="",$G70=""),0,IF(AND($F70=VLOOKUP($C70,Matches!$A$2:$Q$200,9,FALSE),$G70=VLOOKUP($C70,Matches!$A$2:$Q$200,10,FALSE)),Setup!$H$5,0))))</x:f>
      </x:c>
      <x:c r="O70" s="66" t="str">
        <x:f>IF($A70="","",$M70+$N70)</x:f>
      </x:c>
      <x:c r="P70" s="18" t="str">
        <x:f>IF($A70="","",IF($L70="Late","Late - 0 points",IF($J70="","Waiting for result",IF($O70&gt;0,"Scored",IF($O70&lt;0,"Wrong pick","No points")))))</x:f>
      </x:c>
    </x:row>
    <x:row r="71">
      <x:c r="A71" s="60" t="n">
        <x:f>'Form Responses 1'!A71</x:f>
        <x:v>0</x:v>
      </x:c>
      <x:c r="B71" s="18" t="n">
        <x:f>'Form Responses 1'!B71</x:f>
        <x:v>0</x:v>
      </x:c>
      <x:c r="C71" s="18" t="n">
        <x:f>'Form Responses 1'!C71</x:f>
        <x:v>0</x:v>
      </x:c>
      <x:c r="D71" s="18" t="n">
        <x:f>'Form Responses 1'!D71</x:f>
        <x:v>0</x:v>
      </x:c>
      <x:c r="E71" s="18" t="n">
        <x:f>'Form Responses 1'!E71</x:f>
        <x:v>0</x:v>
      </x:c>
      <x:c r="F71" s="18" t="n">
        <x:f>'Form Responses 1'!F71</x:f>
        <x:v>0</x:v>
      </x:c>
      <x:c r="G71" s="18" t="n">
        <x:f>'Form Responses 1'!G71</x:f>
        <x:v>0</x:v>
      </x:c>
      <x:c r="H71" s="18" t="str">
        <x:f>IF($C71="","",IFERROR(VLOOKUP($C71,Matches!$A$2:$Q$200,5,FALSE),"Unknown"))</x:f>
      </x:c>
      <x:c r="I71" s="60" t="str">
        <x:f>IF($C71="","",IFERROR(VLOOKUP($C71,Matches!$A$2:$Q$200,16,FALSE),""))</x:f>
      </x:c>
      <x:c r="J71" s="18" t="str">
        <x:f>IF($C71="","",IFERROR(VLOOKUP($C71,Matches!$A$2:$Q$200,11,FALSE),""))</x:f>
      </x:c>
      <x:c r="K71" s="18" t="str">
        <x:f>IF($C71="","",IFERROR(VLOOKUP($C71,Matches!$A$2:$Q$200,12,FALSE),""))</x:f>
      </x:c>
      <x:c r="L71" s="18" t="str">
        <x:f>IF($A71="","",IF($C71=1,"Yes",IF(OR($I71="",$A71&lt;$I71),"Yes","Late")))</x:f>
      </x:c>
      <x:c r="M71" s="66" t="str">
        <x:f>IF($A71="","",IF($L71&lt;&gt;"Yes",0,IF($E71="",0,IF($J71="",0,IF($H71="Group",IF($E71=$J71,Setup!$H$2,Setup!$H$3),IF($E71=$K71,Setup!$H$2,Setup!$H$3))))))</x:f>
      </x:c>
      <x:c r="N71" s="66" t="str">
        <x:f>IF($A71="","",IF($L71&lt;&gt;"Yes",0,IF(OR($F71="",$G71=""),0,IF(AND($F71=VLOOKUP($C71,Matches!$A$2:$Q$200,9,FALSE),$G71=VLOOKUP($C71,Matches!$A$2:$Q$200,10,FALSE)),Setup!$H$5,0))))</x:f>
      </x:c>
      <x:c r="O71" s="66" t="str">
        <x:f>IF($A71="","",$M71+$N71)</x:f>
      </x:c>
      <x:c r="P71" s="18" t="str">
        <x:f>IF($A71="","",IF($L71="Late","Late - 0 points",IF($J71="","Waiting for result",IF($O71&gt;0,"Scored",IF($O71&lt;0,"Wrong pick","No points")))))</x:f>
      </x:c>
    </x:row>
    <x:row r="72">
      <x:c r="A72" s="60" t="n">
        <x:f>'Form Responses 1'!A72</x:f>
        <x:v>0</x:v>
      </x:c>
      <x:c r="B72" s="18" t="n">
        <x:f>'Form Responses 1'!B72</x:f>
        <x:v>0</x:v>
      </x:c>
      <x:c r="C72" s="18" t="n">
        <x:f>'Form Responses 1'!C72</x:f>
        <x:v>0</x:v>
      </x:c>
      <x:c r="D72" s="18" t="n">
        <x:f>'Form Responses 1'!D72</x:f>
        <x:v>0</x:v>
      </x:c>
      <x:c r="E72" s="18" t="n">
        <x:f>'Form Responses 1'!E72</x:f>
        <x:v>0</x:v>
      </x:c>
      <x:c r="F72" s="18" t="n">
        <x:f>'Form Responses 1'!F72</x:f>
        <x:v>0</x:v>
      </x:c>
      <x:c r="G72" s="18" t="n">
        <x:f>'Form Responses 1'!G72</x:f>
        <x:v>0</x:v>
      </x:c>
      <x:c r="H72" s="18" t="str">
        <x:f>IF($C72="","",IFERROR(VLOOKUP($C72,Matches!$A$2:$Q$200,5,FALSE),"Unknown"))</x:f>
      </x:c>
      <x:c r="I72" s="60" t="str">
        <x:f>IF($C72="","",IFERROR(VLOOKUP($C72,Matches!$A$2:$Q$200,16,FALSE),""))</x:f>
      </x:c>
      <x:c r="J72" s="18" t="str">
        <x:f>IF($C72="","",IFERROR(VLOOKUP($C72,Matches!$A$2:$Q$200,11,FALSE),""))</x:f>
      </x:c>
      <x:c r="K72" s="18" t="str">
        <x:f>IF($C72="","",IFERROR(VLOOKUP($C72,Matches!$A$2:$Q$200,12,FALSE),""))</x:f>
      </x:c>
      <x:c r="L72" s="18" t="str">
        <x:f>IF($A72="","",IF($C72=1,"Yes",IF(OR($I72="",$A72&lt;$I72),"Yes","Late")))</x:f>
      </x:c>
      <x:c r="M72" s="66" t="str">
        <x:f>IF($A72="","",IF($L72&lt;&gt;"Yes",0,IF($E72="",0,IF($J72="",0,IF($H72="Group",IF($E72=$J72,Setup!$H$2,Setup!$H$3),IF($E72=$K72,Setup!$H$2,Setup!$H$3))))))</x:f>
      </x:c>
      <x:c r="N72" s="66" t="str">
        <x:f>IF($A72="","",IF($L72&lt;&gt;"Yes",0,IF(OR($F72="",$G72=""),0,IF(AND($F72=VLOOKUP($C72,Matches!$A$2:$Q$200,9,FALSE),$G72=VLOOKUP($C72,Matches!$A$2:$Q$200,10,FALSE)),Setup!$H$5,0))))</x:f>
      </x:c>
      <x:c r="O72" s="66" t="str">
        <x:f>IF($A72="","",$M72+$N72)</x:f>
      </x:c>
      <x:c r="P72" s="18" t="str">
        <x:f>IF($A72="","",IF($L72="Late","Late - 0 points",IF($J72="","Waiting for result",IF($O72&gt;0,"Scored",IF($O72&lt;0,"Wrong pick","No points")))))</x:f>
      </x:c>
    </x:row>
    <x:row r="73">
      <x:c r="A73" s="60" t="n">
        <x:f>'Form Responses 1'!A73</x:f>
        <x:v>0</x:v>
      </x:c>
      <x:c r="B73" s="18" t="n">
        <x:f>'Form Responses 1'!B73</x:f>
        <x:v>0</x:v>
      </x:c>
      <x:c r="C73" s="18" t="n">
        <x:f>'Form Responses 1'!C73</x:f>
        <x:v>0</x:v>
      </x:c>
      <x:c r="D73" s="18" t="n">
        <x:f>'Form Responses 1'!D73</x:f>
        <x:v>0</x:v>
      </x:c>
      <x:c r="E73" s="18" t="n">
        <x:f>'Form Responses 1'!E73</x:f>
        <x:v>0</x:v>
      </x:c>
      <x:c r="F73" s="18" t="n">
        <x:f>'Form Responses 1'!F73</x:f>
        <x:v>0</x:v>
      </x:c>
      <x:c r="G73" s="18" t="n">
        <x:f>'Form Responses 1'!G73</x:f>
        <x:v>0</x:v>
      </x:c>
      <x:c r="H73" s="18" t="str">
        <x:f>IF($C73="","",IFERROR(VLOOKUP($C73,Matches!$A$2:$Q$200,5,FALSE),"Unknown"))</x:f>
      </x:c>
      <x:c r="I73" s="60" t="str">
        <x:f>IF($C73="","",IFERROR(VLOOKUP($C73,Matches!$A$2:$Q$200,16,FALSE),""))</x:f>
      </x:c>
      <x:c r="J73" s="18" t="str">
        <x:f>IF($C73="","",IFERROR(VLOOKUP($C73,Matches!$A$2:$Q$200,11,FALSE),""))</x:f>
      </x:c>
      <x:c r="K73" s="18" t="str">
        <x:f>IF($C73="","",IFERROR(VLOOKUP($C73,Matches!$A$2:$Q$200,12,FALSE),""))</x:f>
      </x:c>
      <x:c r="L73" s="18" t="str">
        <x:f>IF($A73="","",IF($C73=1,"Yes",IF(OR($I73="",$A73&lt;$I73),"Yes","Late")))</x:f>
      </x:c>
      <x:c r="M73" s="66" t="str">
        <x:f>IF($A73="","",IF($L73&lt;&gt;"Yes",0,IF($E73="",0,IF($J73="",0,IF($H73="Group",IF($E73=$J73,Setup!$H$2,Setup!$H$3),IF($E73=$K73,Setup!$H$2,Setup!$H$3))))))</x:f>
      </x:c>
      <x:c r="N73" s="66" t="str">
        <x:f>IF($A73="","",IF($L73&lt;&gt;"Yes",0,IF(OR($F73="",$G73=""),0,IF(AND($F73=VLOOKUP($C73,Matches!$A$2:$Q$200,9,FALSE),$G73=VLOOKUP($C73,Matches!$A$2:$Q$200,10,FALSE)),Setup!$H$5,0))))</x:f>
      </x:c>
      <x:c r="O73" s="66" t="str">
        <x:f>IF($A73="","",$M73+$N73)</x:f>
      </x:c>
      <x:c r="P73" s="18" t="str">
        <x:f>IF($A73="","",IF($L73="Late","Late - 0 points",IF($J73="","Waiting for result",IF($O73&gt;0,"Scored",IF($O73&lt;0,"Wrong pick","No points")))))</x:f>
      </x:c>
    </x:row>
    <x:row r="74">
      <x:c r="A74" s="60" t="n">
        <x:f>'Form Responses 1'!A74</x:f>
        <x:v>0</x:v>
      </x:c>
      <x:c r="B74" s="18" t="n">
        <x:f>'Form Responses 1'!B74</x:f>
        <x:v>0</x:v>
      </x:c>
      <x:c r="C74" s="18" t="n">
        <x:f>'Form Responses 1'!C74</x:f>
        <x:v>0</x:v>
      </x:c>
      <x:c r="D74" s="18" t="n">
        <x:f>'Form Responses 1'!D74</x:f>
        <x:v>0</x:v>
      </x:c>
      <x:c r="E74" s="18" t="n">
        <x:f>'Form Responses 1'!E74</x:f>
        <x:v>0</x:v>
      </x:c>
      <x:c r="F74" s="18" t="n">
        <x:f>'Form Responses 1'!F74</x:f>
        <x:v>0</x:v>
      </x:c>
      <x:c r="G74" s="18" t="n">
        <x:f>'Form Responses 1'!G74</x:f>
        <x:v>0</x:v>
      </x:c>
      <x:c r="H74" s="18" t="str">
        <x:f>IF($C74="","",IFERROR(VLOOKUP($C74,Matches!$A$2:$Q$200,5,FALSE),"Unknown"))</x:f>
      </x:c>
      <x:c r="I74" s="60" t="str">
        <x:f>IF($C74="","",IFERROR(VLOOKUP($C74,Matches!$A$2:$Q$200,16,FALSE),""))</x:f>
      </x:c>
      <x:c r="J74" s="18" t="str">
        <x:f>IF($C74="","",IFERROR(VLOOKUP($C74,Matches!$A$2:$Q$200,11,FALSE),""))</x:f>
      </x:c>
      <x:c r="K74" s="18" t="str">
        <x:f>IF($C74="","",IFERROR(VLOOKUP($C74,Matches!$A$2:$Q$200,12,FALSE),""))</x:f>
      </x:c>
      <x:c r="L74" s="18" t="str">
        <x:f>IF($A74="","",IF($C74=1,"Yes",IF(OR($I74="",$A74&lt;$I74),"Yes","Late")))</x:f>
      </x:c>
      <x:c r="M74" s="66" t="str">
        <x:f>IF($A74="","",IF($L74&lt;&gt;"Yes",0,IF($E74="",0,IF($J74="",0,IF($H74="Group",IF($E74=$J74,Setup!$H$2,Setup!$H$3),IF($E74=$K74,Setup!$H$2,Setup!$H$3))))))</x:f>
      </x:c>
      <x:c r="N74" s="66" t="str">
        <x:f>IF($A74="","",IF($L74&lt;&gt;"Yes",0,IF(OR($F74="",$G74=""),0,IF(AND($F74=VLOOKUP($C74,Matches!$A$2:$Q$200,9,FALSE),$G74=VLOOKUP($C74,Matches!$A$2:$Q$200,10,FALSE)),Setup!$H$5,0))))</x:f>
      </x:c>
      <x:c r="O74" s="66" t="str">
        <x:f>IF($A74="","",$M74+$N74)</x:f>
      </x:c>
      <x:c r="P74" s="18" t="str">
        <x:f>IF($A74="","",IF($L74="Late","Late - 0 points",IF($J74="","Waiting for result",IF($O74&gt;0,"Scored",IF($O74&lt;0,"Wrong pick","No points")))))</x:f>
      </x:c>
    </x:row>
    <x:row r="75">
      <x:c r="A75" s="60" t="n">
        <x:f>'Form Responses 1'!A75</x:f>
        <x:v>0</x:v>
      </x:c>
      <x:c r="B75" s="18" t="n">
        <x:f>'Form Responses 1'!B75</x:f>
        <x:v>0</x:v>
      </x:c>
      <x:c r="C75" s="18" t="n">
        <x:f>'Form Responses 1'!C75</x:f>
        <x:v>0</x:v>
      </x:c>
      <x:c r="D75" s="18" t="n">
        <x:f>'Form Responses 1'!D75</x:f>
        <x:v>0</x:v>
      </x:c>
      <x:c r="E75" s="18" t="n">
        <x:f>'Form Responses 1'!E75</x:f>
        <x:v>0</x:v>
      </x:c>
      <x:c r="F75" s="18" t="n">
        <x:f>'Form Responses 1'!F75</x:f>
        <x:v>0</x:v>
      </x:c>
      <x:c r="G75" s="18" t="n">
        <x:f>'Form Responses 1'!G75</x:f>
        <x:v>0</x:v>
      </x:c>
      <x:c r="H75" s="18" t="str">
        <x:f>IF($C75="","",IFERROR(VLOOKUP($C75,Matches!$A$2:$Q$200,5,FALSE),"Unknown"))</x:f>
      </x:c>
      <x:c r="I75" s="60" t="str">
        <x:f>IF($C75="","",IFERROR(VLOOKUP($C75,Matches!$A$2:$Q$200,16,FALSE),""))</x:f>
      </x:c>
      <x:c r="J75" s="18" t="str">
        <x:f>IF($C75="","",IFERROR(VLOOKUP($C75,Matches!$A$2:$Q$200,11,FALSE),""))</x:f>
      </x:c>
      <x:c r="K75" s="18" t="str">
        <x:f>IF($C75="","",IFERROR(VLOOKUP($C75,Matches!$A$2:$Q$200,12,FALSE),""))</x:f>
      </x:c>
      <x:c r="L75" s="18" t="str">
        <x:f>IF($A75="","",IF($C75=1,"Yes",IF(OR($I75="",$A75&lt;$I75),"Yes","Late")))</x:f>
      </x:c>
      <x:c r="M75" s="66" t="str">
        <x:f>IF($A75="","",IF($L75&lt;&gt;"Yes",0,IF($E75="",0,IF($J75="",0,IF($H75="Group",IF($E75=$J75,Setup!$H$2,Setup!$H$3),IF($E75=$K75,Setup!$H$2,Setup!$H$3))))))</x:f>
      </x:c>
      <x:c r="N75" s="66" t="str">
        <x:f>IF($A75="","",IF($L75&lt;&gt;"Yes",0,IF(OR($F75="",$G75=""),0,IF(AND($F75=VLOOKUP($C75,Matches!$A$2:$Q$200,9,FALSE),$G75=VLOOKUP($C75,Matches!$A$2:$Q$200,10,FALSE)),Setup!$H$5,0))))</x:f>
      </x:c>
      <x:c r="O75" s="66" t="str">
        <x:f>IF($A75="","",$M75+$N75)</x:f>
      </x:c>
      <x:c r="P75" s="18" t="str">
        <x:f>IF($A75="","",IF($L75="Late","Late - 0 points",IF($J75="","Waiting for result",IF($O75&gt;0,"Scored",IF($O75&lt;0,"Wrong pick","No points")))))</x:f>
      </x:c>
    </x:row>
    <x:row r="76">
      <x:c r="A76" s="60" t="n">
        <x:f>'Form Responses 1'!A76</x:f>
        <x:v>0</x:v>
      </x:c>
      <x:c r="B76" s="18" t="n">
        <x:f>'Form Responses 1'!B76</x:f>
        <x:v>0</x:v>
      </x:c>
      <x:c r="C76" s="18" t="n">
        <x:f>'Form Responses 1'!C76</x:f>
        <x:v>0</x:v>
      </x:c>
      <x:c r="D76" s="18" t="n">
        <x:f>'Form Responses 1'!D76</x:f>
        <x:v>0</x:v>
      </x:c>
      <x:c r="E76" s="18" t="n">
        <x:f>'Form Responses 1'!E76</x:f>
        <x:v>0</x:v>
      </x:c>
      <x:c r="F76" s="18" t="n">
        <x:f>'Form Responses 1'!F76</x:f>
        <x:v>0</x:v>
      </x:c>
      <x:c r="G76" s="18" t="n">
        <x:f>'Form Responses 1'!G76</x:f>
        <x:v>0</x:v>
      </x:c>
      <x:c r="H76" s="18" t="str">
        <x:f>IF($C76="","",IFERROR(VLOOKUP($C76,Matches!$A$2:$Q$200,5,FALSE),"Unknown"))</x:f>
      </x:c>
      <x:c r="I76" s="60" t="str">
        <x:f>IF($C76="","",IFERROR(VLOOKUP($C76,Matches!$A$2:$Q$200,16,FALSE),""))</x:f>
      </x:c>
      <x:c r="J76" s="18" t="str">
        <x:f>IF($C76="","",IFERROR(VLOOKUP($C76,Matches!$A$2:$Q$200,11,FALSE),""))</x:f>
      </x:c>
      <x:c r="K76" s="18" t="str">
        <x:f>IF($C76="","",IFERROR(VLOOKUP($C76,Matches!$A$2:$Q$200,12,FALSE),""))</x:f>
      </x:c>
      <x:c r="L76" s="18" t="str">
        <x:f>IF($A76="","",IF($C76=1,"Yes",IF(OR($I76="",$A76&lt;$I76),"Yes","Late")))</x:f>
      </x:c>
      <x:c r="M76" s="66" t="str">
        <x:f>IF($A76="","",IF($L76&lt;&gt;"Yes",0,IF($E76="",0,IF($J76="",0,IF($H76="Group",IF($E76=$J76,Setup!$H$2,Setup!$H$3),IF($E76=$K76,Setup!$H$2,Setup!$H$3))))))</x:f>
      </x:c>
      <x:c r="N76" s="66" t="str">
        <x:f>IF($A76="","",IF($L76&lt;&gt;"Yes",0,IF(OR($F76="",$G76=""),0,IF(AND($F76=VLOOKUP($C76,Matches!$A$2:$Q$200,9,FALSE),$G76=VLOOKUP($C76,Matches!$A$2:$Q$200,10,FALSE)),Setup!$H$5,0))))</x:f>
      </x:c>
      <x:c r="O76" s="66" t="str">
        <x:f>IF($A76="","",$M76+$N76)</x:f>
      </x:c>
      <x:c r="P76" s="18" t="str">
        <x:f>IF($A76="","",IF($L76="Late","Late - 0 points",IF($J76="","Waiting for result",IF($O76&gt;0,"Scored",IF($O76&lt;0,"Wrong pick","No points")))))</x:f>
      </x:c>
    </x:row>
    <x:row r="77">
      <x:c r="A77" s="60" t="n">
        <x:f>'Form Responses 1'!A77</x:f>
        <x:v>0</x:v>
      </x:c>
      <x:c r="B77" s="18" t="n">
        <x:f>'Form Responses 1'!B77</x:f>
        <x:v>0</x:v>
      </x:c>
      <x:c r="C77" s="18" t="n">
        <x:f>'Form Responses 1'!C77</x:f>
        <x:v>0</x:v>
      </x:c>
      <x:c r="D77" s="18" t="n">
        <x:f>'Form Responses 1'!D77</x:f>
        <x:v>0</x:v>
      </x:c>
      <x:c r="E77" s="18" t="n">
        <x:f>'Form Responses 1'!E77</x:f>
        <x:v>0</x:v>
      </x:c>
      <x:c r="F77" s="18" t="n">
        <x:f>'Form Responses 1'!F77</x:f>
        <x:v>0</x:v>
      </x:c>
      <x:c r="G77" s="18" t="n">
        <x:f>'Form Responses 1'!G77</x:f>
        <x:v>0</x:v>
      </x:c>
      <x:c r="H77" s="18" t="str">
        <x:f>IF($C77="","",IFERROR(VLOOKUP($C77,Matches!$A$2:$Q$200,5,FALSE),"Unknown"))</x:f>
      </x:c>
      <x:c r="I77" s="60" t="str">
        <x:f>IF($C77="","",IFERROR(VLOOKUP($C77,Matches!$A$2:$Q$200,16,FALSE),""))</x:f>
      </x:c>
      <x:c r="J77" s="18" t="str">
        <x:f>IF($C77="","",IFERROR(VLOOKUP($C77,Matches!$A$2:$Q$200,11,FALSE),""))</x:f>
      </x:c>
      <x:c r="K77" s="18" t="str">
        <x:f>IF($C77="","",IFERROR(VLOOKUP($C77,Matches!$A$2:$Q$200,12,FALSE),""))</x:f>
      </x:c>
      <x:c r="L77" s="18" t="str">
        <x:f>IF($A77="","",IF($C77=1,"Yes",IF(OR($I77="",$A77&lt;$I77),"Yes","Late")))</x:f>
      </x:c>
      <x:c r="M77" s="66" t="str">
        <x:f>IF($A77="","",IF($L77&lt;&gt;"Yes",0,IF($E77="",0,IF($J77="",0,IF($H77="Group",IF($E77=$J77,Setup!$H$2,Setup!$H$3),IF($E77=$K77,Setup!$H$2,Setup!$H$3))))))</x:f>
      </x:c>
      <x:c r="N77" s="66" t="str">
        <x:f>IF($A77="","",IF($L77&lt;&gt;"Yes",0,IF(OR($F77="",$G77=""),0,IF(AND($F77=VLOOKUP($C77,Matches!$A$2:$Q$200,9,FALSE),$G77=VLOOKUP($C77,Matches!$A$2:$Q$200,10,FALSE)),Setup!$H$5,0))))</x:f>
      </x:c>
      <x:c r="O77" s="66" t="str">
        <x:f>IF($A77="","",$M77+$N77)</x:f>
      </x:c>
      <x:c r="P77" s="18" t="str">
        <x:f>IF($A77="","",IF($L77="Late","Late - 0 points",IF($J77="","Waiting for result",IF($O77&gt;0,"Scored",IF($O77&lt;0,"Wrong pick","No points")))))</x:f>
      </x:c>
    </x:row>
    <x:row r="78">
      <x:c r="A78" s="60" t="n">
        <x:f>'Form Responses 1'!A78</x:f>
        <x:v>0</x:v>
      </x:c>
      <x:c r="B78" s="18" t="n">
        <x:f>'Form Responses 1'!B78</x:f>
        <x:v>0</x:v>
      </x:c>
      <x:c r="C78" s="18" t="n">
        <x:f>'Form Responses 1'!C78</x:f>
        <x:v>0</x:v>
      </x:c>
      <x:c r="D78" s="18" t="n">
        <x:f>'Form Responses 1'!D78</x:f>
        <x:v>0</x:v>
      </x:c>
      <x:c r="E78" s="18" t="n">
        <x:f>'Form Responses 1'!E78</x:f>
        <x:v>0</x:v>
      </x:c>
      <x:c r="F78" s="18" t="n">
        <x:f>'Form Responses 1'!F78</x:f>
        <x:v>0</x:v>
      </x:c>
      <x:c r="G78" s="18" t="n">
        <x:f>'Form Responses 1'!G78</x:f>
        <x:v>0</x:v>
      </x:c>
      <x:c r="H78" s="18" t="str">
        <x:f>IF($C78="","",IFERROR(VLOOKUP($C78,Matches!$A$2:$Q$200,5,FALSE),"Unknown"))</x:f>
      </x:c>
      <x:c r="I78" s="60" t="str">
        <x:f>IF($C78="","",IFERROR(VLOOKUP($C78,Matches!$A$2:$Q$200,16,FALSE),""))</x:f>
      </x:c>
      <x:c r="J78" s="18" t="str">
        <x:f>IF($C78="","",IFERROR(VLOOKUP($C78,Matches!$A$2:$Q$200,11,FALSE),""))</x:f>
      </x:c>
      <x:c r="K78" s="18" t="str">
        <x:f>IF($C78="","",IFERROR(VLOOKUP($C78,Matches!$A$2:$Q$200,12,FALSE),""))</x:f>
      </x:c>
      <x:c r="L78" s="18" t="str">
        <x:f>IF($A78="","",IF($C78=1,"Yes",IF(OR($I78="",$A78&lt;$I78),"Yes","Late")))</x:f>
      </x:c>
      <x:c r="M78" s="66" t="str">
        <x:f>IF($A78="","",IF($L78&lt;&gt;"Yes",0,IF($E78="",0,IF($J78="",0,IF($H78="Group",IF($E78=$J78,Setup!$H$2,Setup!$H$3),IF($E78=$K78,Setup!$H$2,Setup!$H$3))))))</x:f>
      </x:c>
      <x:c r="N78" s="66" t="str">
        <x:f>IF($A78="","",IF($L78&lt;&gt;"Yes",0,IF(OR($F78="",$G78=""),0,IF(AND($F78=VLOOKUP($C78,Matches!$A$2:$Q$200,9,FALSE),$G78=VLOOKUP($C78,Matches!$A$2:$Q$200,10,FALSE)),Setup!$H$5,0))))</x:f>
      </x:c>
      <x:c r="O78" s="66" t="str">
        <x:f>IF($A78="","",$M78+$N78)</x:f>
      </x:c>
      <x:c r="P78" s="18" t="str">
        <x:f>IF($A78="","",IF($L78="Late","Late - 0 points",IF($J78="","Waiting for result",IF($O78&gt;0,"Scored",IF($O78&lt;0,"Wrong pick","No points")))))</x:f>
      </x:c>
    </x:row>
    <x:row r="79">
      <x:c r="A79" s="60" t="n">
        <x:f>'Form Responses 1'!A79</x:f>
        <x:v>0</x:v>
      </x:c>
      <x:c r="B79" s="18" t="n">
        <x:f>'Form Responses 1'!B79</x:f>
        <x:v>0</x:v>
      </x:c>
      <x:c r="C79" s="18" t="n">
        <x:f>'Form Responses 1'!C79</x:f>
        <x:v>0</x:v>
      </x:c>
      <x:c r="D79" s="18" t="n">
        <x:f>'Form Responses 1'!D79</x:f>
        <x:v>0</x:v>
      </x:c>
      <x:c r="E79" s="18" t="n">
        <x:f>'Form Responses 1'!E79</x:f>
        <x:v>0</x:v>
      </x:c>
      <x:c r="F79" s="18" t="n">
        <x:f>'Form Responses 1'!F79</x:f>
        <x:v>0</x:v>
      </x:c>
      <x:c r="G79" s="18" t="n">
        <x:f>'Form Responses 1'!G79</x:f>
        <x:v>0</x:v>
      </x:c>
      <x:c r="H79" s="18" t="str">
        <x:f>IF($C79="","",IFERROR(VLOOKUP($C79,Matches!$A$2:$Q$200,5,FALSE),"Unknown"))</x:f>
      </x:c>
      <x:c r="I79" s="60" t="str">
        <x:f>IF($C79="","",IFERROR(VLOOKUP($C79,Matches!$A$2:$Q$200,16,FALSE),""))</x:f>
      </x:c>
      <x:c r="J79" s="18" t="str">
        <x:f>IF($C79="","",IFERROR(VLOOKUP($C79,Matches!$A$2:$Q$200,11,FALSE),""))</x:f>
      </x:c>
      <x:c r="K79" s="18" t="str">
        <x:f>IF($C79="","",IFERROR(VLOOKUP($C79,Matches!$A$2:$Q$200,12,FALSE),""))</x:f>
      </x:c>
      <x:c r="L79" s="18" t="str">
        <x:f>IF($A79="","",IF($C79=1,"Yes",IF(OR($I79="",$A79&lt;$I79),"Yes","Late")))</x:f>
      </x:c>
      <x:c r="M79" s="66" t="str">
        <x:f>IF($A79="","",IF($L79&lt;&gt;"Yes",0,IF($E79="",0,IF($J79="",0,IF($H79="Group",IF($E79=$J79,Setup!$H$2,Setup!$H$3),IF($E79=$K79,Setup!$H$2,Setup!$H$3))))))</x:f>
      </x:c>
      <x:c r="N79" s="66" t="str">
        <x:f>IF($A79="","",IF($L79&lt;&gt;"Yes",0,IF(OR($F79="",$G79=""),0,IF(AND($F79=VLOOKUP($C79,Matches!$A$2:$Q$200,9,FALSE),$G79=VLOOKUP($C79,Matches!$A$2:$Q$200,10,FALSE)),Setup!$H$5,0))))</x:f>
      </x:c>
      <x:c r="O79" s="66" t="str">
        <x:f>IF($A79="","",$M79+$N79)</x:f>
      </x:c>
      <x:c r="P79" s="18" t="str">
        <x:f>IF($A79="","",IF($L79="Late","Late - 0 points",IF($J79="","Waiting for result",IF($O79&gt;0,"Scored",IF($O79&lt;0,"Wrong pick","No points")))))</x:f>
      </x:c>
    </x:row>
    <x:row r="80">
      <x:c r="A80" s="60" t="n">
        <x:f>'Form Responses 1'!A80</x:f>
        <x:v>0</x:v>
      </x:c>
      <x:c r="B80" s="18" t="n">
        <x:f>'Form Responses 1'!B80</x:f>
        <x:v>0</x:v>
      </x:c>
      <x:c r="C80" s="18" t="n">
        <x:f>'Form Responses 1'!C80</x:f>
        <x:v>0</x:v>
      </x:c>
      <x:c r="D80" s="18" t="n">
        <x:f>'Form Responses 1'!D80</x:f>
        <x:v>0</x:v>
      </x:c>
      <x:c r="E80" s="18" t="n">
        <x:f>'Form Responses 1'!E80</x:f>
        <x:v>0</x:v>
      </x:c>
      <x:c r="F80" s="18" t="n">
        <x:f>'Form Responses 1'!F80</x:f>
        <x:v>0</x:v>
      </x:c>
      <x:c r="G80" s="18" t="n">
        <x:f>'Form Responses 1'!G80</x:f>
        <x:v>0</x:v>
      </x:c>
      <x:c r="H80" s="18" t="str">
        <x:f>IF($C80="","",IFERROR(VLOOKUP($C80,Matches!$A$2:$Q$200,5,FALSE),"Unknown"))</x:f>
      </x:c>
      <x:c r="I80" s="60" t="str">
        <x:f>IF($C80="","",IFERROR(VLOOKUP($C80,Matches!$A$2:$Q$200,16,FALSE),""))</x:f>
      </x:c>
      <x:c r="J80" s="18" t="str">
        <x:f>IF($C80="","",IFERROR(VLOOKUP($C80,Matches!$A$2:$Q$200,11,FALSE),""))</x:f>
      </x:c>
      <x:c r="K80" s="18" t="str">
        <x:f>IF($C80="","",IFERROR(VLOOKUP($C80,Matches!$A$2:$Q$200,12,FALSE),""))</x:f>
      </x:c>
      <x:c r="L80" s="18" t="str">
        <x:f>IF($A80="","",IF($C80=1,"Yes",IF(OR($I80="",$A80&lt;$I80),"Yes","Late")))</x:f>
      </x:c>
      <x:c r="M80" s="66" t="str">
        <x:f>IF($A80="","",IF($L80&lt;&gt;"Yes",0,IF($E80="",0,IF($J80="",0,IF($H80="Group",IF($E80=$J80,Setup!$H$2,Setup!$H$3),IF($E80=$K80,Setup!$H$2,Setup!$H$3))))))</x:f>
      </x:c>
      <x:c r="N80" s="66" t="str">
        <x:f>IF($A80="","",IF($L80&lt;&gt;"Yes",0,IF(OR($F80="",$G80=""),0,IF(AND($F80=VLOOKUP($C80,Matches!$A$2:$Q$200,9,FALSE),$G80=VLOOKUP($C80,Matches!$A$2:$Q$200,10,FALSE)),Setup!$H$5,0))))</x:f>
      </x:c>
      <x:c r="O80" s="66" t="str">
        <x:f>IF($A80="","",$M80+$N80)</x:f>
      </x:c>
      <x:c r="P80" s="18" t="str">
        <x:f>IF($A80="","",IF($L80="Late","Late - 0 points",IF($J80="","Waiting for result",IF($O80&gt;0,"Scored",IF($O80&lt;0,"Wrong pick","No points")))))</x:f>
      </x:c>
    </x:row>
    <x:row r="81">
      <x:c r="A81" s="60" t="n">
        <x:f>'Form Responses 1'!A81</x:f>
        <x:v>0</x:v>
      </x:c>
      <x:c r="B81" s="18" t="n">
        <x:f>'Form Responses 1'!B81</x:f>
        <x:v>0</x:v>
      </x:c>
      <x:c r="C81" s="18" t="n">
        <x:f>'Form Responses 1'!C81</x:f>
        <x:v>0</x:v>
      </x:c>
      <x:c r="D81" s="18" t="n">
        <x:f>'Form Responses 1'!D81</x:f>
        <x:v>0</x:v>
      </x:c>
      <x:c r="E81" s="18" t="n">
        <x:f>'Form Responses 1'!E81</x:f>
        <x:v>0</x:v>
      </x:c>
      <x:c r="F81" s="18" t="n">
        <x:f>'Form Responses 1'!F81</x:f>
        <x:v>0</x:v>
      </x:c>
      <x:c r="G81" s="18" t="n">
        <x:f>'Form Responses 1'!G81</x:f>
        <x:v>0</x:v>
      </x:c>
      <x:c r="H81" s="18" t="str">
        <x:f>IF($C81="","",IFERROR(VLOOKUP($C81,Matches!$A$2:$Q$200,5,FALSE),"Unknown"))</x:f>
      </x:c>
      <x:c r="I81" s="60" t="str">
        <x:f>IF($C81="","",IFERROR(VLOOKUP($C81,Matches!$A$2:$Q$200,16,FALSE),""))</x:f>
      </x:c>
      <x:c r="J81" s="18" t="str">
        <x:f>IF($C81="","",IFERROR(VLOOKUP($C81,Matches!$A$2:$Q$200,11,FALSE),""))</x:f>
      </x:c>
      <x:c r="K81" s="18" t="str">
        <x:f>IF($C81="","",IFERROR(VLOOKUP($C81,Matches!$A$2:$Q$200,12,FALSE),""))</x:f>
      </x:c>
      <x:c r="L81" s="18" t="str">
        <x:f>IF($A81="","",IF($C81=1,"Yes",IF(OR($I81="",$A81&lt;$I81),"Yes","Late")))</x:f>
      </x:c>
      <x:c r="M81" s="66" t="str">
        <x:f>IF($A81="","",IF($L81&lt;&gt;"Yes",0,IF($E81="",0,IF($J81="",0,IF($H81="Group",IF($E81=$J81,Setup!$H$2,Setup!$H$3),IF($E81=$K81,Setup!$H$2,Setup!$H$3))))))</x:f>
      </x:c>
      <x:c r="N81" s="66" t="str">
        <x:f>IF($A81="","",IF($L81&lt;&gt;"Yes",0,IF(OR($F81="",$G81=""),0,IF(AND($F81=VLOOKUP($C81,Matches!$A$2:$Q$200,9,FALSE),$G81=VLOOKUP($C81,Matches!$A$2:$Q$200,10,FALSE)),Setup!$H$5,0))))</x:f>
      </x:c>
      <x:c r="O81" s="66" t="str">
        <x:f>IF($A81="","",$M81+$N81)</x:f>
      </x:c>
      <x:c r="P81" s="18" t="str">
        <x:f>IF($A81="","",IF($L81="Late","Late - 0 points",IF($J81="","Waiting for result",IF($O81&gt;0,"Scored",IF($O81&lt;0,"Wrong pick","No points")))))</x:f>
      </x:c>
    </x:row>
    <x:row r="82">
      <x:c r="A82" s="60" t="n">
        <x:f>'Form Responses 1'!A82</x:f>
        <x:v>0</x:v>
      </x:c>
      <x:c r="B82" s="18" t="n">
        <x:f>'Form Responses 1'!B82</x:f>
        <x:v>0</x:v>
      </x:c>
      <x:c r="C82" s="18" t="n">
        <x:f>'Form Responses 1'!C82</x:f>
        <x:v>0</x:v>
      </x:c>
      <x:c r="D82" s="18" t="n">
        <x:f>'Form Responses 1'!D82</x:f>
        <x:v>0</x:v>
      </x:c>
      <x:c r="E82" s="18" t="n">
        <x:f>'Form Responses 1'!E82</x:f>
        <x:v>0</x:v>
      </x:c>
      <x:c r="F82" s="18" t="n">
        <x:f>'Form Responses 1'!F82</x:f>
        <x:v>0</x:v>
      </x:c>
      <x:c r="G82" s="18" t="n">
        <x:f>'Form Responses 1'!G82</x:f>
        <x:v>0</x:v>
      </x:c>
      <x:c r="H82" s="18" t="str">
        <x:f>IF($C82="","",IFERROR(VLOOKUP($C82,Matches!$A$2:$Q$200,5,FALSE),"Unknown"))</x:f>
      </x:c>
      <x:c r="I82" s="60" t="str">
        <x:f>IF($C82="","",IFERROR(VLOOKUP($C82,Matches!$A$2:$Q$200,16,FALSE),""))</x:f>
      </x:c>
      <x:c r="J82" s="18" t="str">
        <x:f>IF($C82="","",IFERROR(VLOOKUP($C82,Matches!$A$2:$Q$200,11,FALSE),""))</x:f>
      </x:c>
      <x:c r="K82" s="18" t="str">
        <x:f>IF($C82="","",IFERROR(VLOOKUP($C82,Matches!$A$2:$Q$200,12,FALSE),""))</x:f>
      </x:c>
      <x:c r="L82" s="18" t="str">
        <x:f>IF($A82="","",IF($C82=1,"Yes",IF(OR($I82="",$A82&lt;$I82),"Yes","Late")))</x:f>
      </x:c>
      <x:c r="M82" s="66" t="str">
        <x:f>IF($A82="","",IF($L82&lt;&gt;"Yes",0,IF($E82="",0,IF($J82="",0,IF($H82="Group",IF($E82=$J82,Setup!$H$2,Setup!$H$3),IF($E82=$K82,Setup!$H$2,Setup!$H$3))))))</x:f>
      </x:c>
      <x:c r="N82" s="66" t="str">
        <x:f>IF($A82="","",IF($L82&lt;&gt;"Yes",0,IF(OR($F82="",$G82=""),0,IF(AND($F82=VLOOKUP($C82,Matches!$A$2:$Q$200,9,FALSE),$G82=VLOOKUP($C82,Matches!$A$2:$Q$200,10,FALSE)),Setup!$H$5,0))))</x:f>
      </x:c>
      <x:c r="O82" s="66" t="str">
        <x:f>IF($A82="","",$M82+$N82)</x:f>
      </x:c>
      <x:c r="P82" s="18" t="str">
        <x:f>IF($A82="","",IF($L82="Late","Late - 0 points",IF($J82="","Waiting for result",IF($O82&gt;0,"Scored",IF($O82&lt;0,"Wrong pick","No points")))))</x:f>
      </x:c>
    </x:row>
    <x:row r="83">
      <x:c r="A83" s="60" t="n">
        <x:f>'Form Responses 1'!A83</x:f>
        <x:v>0</x:v>
      </x:c>
      <x:c r="B83" s="18" t="n">
        <x:f>'Form Responses 1'!B83</x:f>
        <x:v>0</x:v>
      </x:c>
      <x:c r="C83" s="18" t="n">
        <x:f>'Form Responses 1'!C83</x:f>
        <x:v>0</x:v>
      </x:c>
      <x:c r="D83" s="18" t="n">
        <x:f>'Form Responses 1'!D83</x:f>
        <x:v>0</x:v>
      </x:c>
      <x:c r="E83" s="18" t="n">
        <x:f>'Form Responses 1'!E83</x:f>
        <x:v>0</x:v>
      </x:c>
      <x:c r="F83" s="18" t="n">
        <x:f>'Form Responses 1'!F83</x:f>
        <x:v>0</x:v>
      </x:c>
      <x:c r="G83" s="18" t="n">
        <x:f>'Form Responses 1'!G83</x:f>
        <x:v>0</x:v>
      </x:c>
      <x:c r="H83" s="18" t="str">
        <x:f>IF($C83="","",IFERROR(VLOOKUP($C83,Matches!$A$2:$Q$200,5,FALSE),"Unknown"))</x:f>
      </x:c>
      <x:c r="I83" s="60" t="str">
        <x:f>IF($C83="","",IFERROR(VLOOKUP($C83,Matches!$A$2:$Q$200,16,FALSE),""))</x:f>
      </x:c>
      <x:c r="J83" s="18" t="str">
        <x:f>IF($C83="","",IFERROR(VLOOKUP($C83,Matches!$A$2:$Q$200,11,FALSE),""))</x:f>
      </x:c>
      <x:c r="K83" s="18" t="str">
        <x:f>IF($C83="","",IFERROR(VLOOKUP($C83,Matches!$A$2:$Q$200,12,FALSE),""))</x:f>
      </x:c>
      <x:c r="L83" s="18" t="str">
        <x:f>IF($A83="","",IF($C83=1,"Yes",IF(OR($I83="",$A83&lt;$I83),"Yes","Late")))</x:f>
      </x:c>
      <x:c r="M83" s="66" t="str">
        <x:f>IF($A83="","",IF($L83&lt;&gt;"Yes",0,IF($E83="",0,IF($J83="",0,IF($H83="Group",IF($E83=$J83,Setup!$H$2,Setup!$H$3),IF($E83=$K83,Setup!$H$2,Setup!$H$3))))))</x:f>
      </x:c>
      <x:c r="N83" s="66" t="str">
        <x:f>IF($A83="","",IF($L83&lt;&gt;"Yes",0,IF(OR($F83="",$G83=""),0,IF(AND($F83=VLOOKUP($C83,Matches!$A$2:$Q$200,9,FALSE),$G83=VLOOKUP($C83,Matches!$A$2:$Q$200,10,FALSE)),Setup!$H$5,0))))</x:f>
      </x:c>
      <x:c r="O83" s="66" t="str">
        <x:f>IF($A83="","",$M83+$N83)</x:f>
      </x:c>
      <x:c r="P83" s="18" t="str">
        <x:f>IF($A83="","",IF($L83="Late","Late - 0 points",IF($J83="","Waiting for result",IF($O83&gt;0,"Scored",IF($O83&lt;0,"Wrong pick","No points")))))</x:f>
      </x:c>
    </x:row>
    <x:row r="84">
      <x:c r="A84" s="60" t="n">
        <x:f>'Form Responses 1'!A84</x:f>
        <x:v>0</x:v>
      </x:c>
      <x:c r="B84" s="18" t="n">
        <x:f>'Form Responses 1'!B84</x:f>
        <x:v>0</x:v>
      </x:c>
      <x:c r="C84" s="18" t="n">
        <x:f>'Form Responses 1'!C84</x:f>
        <x:v>0</x:v>
      </x:c>
      <x:c r="D84" s="18" t="n">
        <x:f>'Form Responses 1'!D84</x:f>
        <x:v>0</x:v>
      </x:c>
      <x:c r="E84" s="18" t="n">
        <x:f>'Form Responses 1'!E84</x:f>
        <x:v>0</x:v>
      </x:c>
      <x:c r="F84" s="18" t="n">
        <x:f>'Form Responses 1'!F84</x:f>
        <x:v>0</x:v>
      </x:c>
      <x:c r="G84" s="18" t="n">
        <x:f>'Form Responses 1'!G84</x:f>
        <x:v>0</x:v>
      </x:c>
      <x:c r="H84" s="18" t="str">
        <x:f>IF($C84="","",IFERROR(VLOOKUP($C84,Matches!$A$2:$Q$200,5,FALSE),"Unknown"))</x:f>
      </x:c>
      <x:c r="I84" s="60" t="str">
        <x:f>IF($C84="","",IFERROR(VLOOKUP($C84,Matches!$A$2:$Q$200,16,FALSE),""))</x:f>
      </x:c>
      <x:c r="J84" s="18" t="str">
        <x:f>IF($C84="","",IFERROR(VLOOKUP($C84,Matches!$A$2:$Q$200,11,FALSE),""))</x:f>
      </x:c>
      <x:c r="K84" s="18" t="str">
        <x:f>IF($C84="","",IFERROR(VLOOKUP($C84,Matches!$A$2:$Q$200,12,FALSE),""))</x:f>
      </x:c>
      <x:c r="L84" s="18" t="str">
        <x:f>IF($A84="","",IF($C84=1,"Yes",IF(OR($I84="",$A84&lt;$I84),"Yes","Late")))</x:f>
      </x:c>
      <x:c r="M84" s="66" t="str">
        <x:f>IF($A84="","",IF($L84&lt;&gt;"Yes",0,IF($E84="",0,IF($J84="",0,IF($H84="Group",IF($E84=$J84,Setup!$H$2,Setup!$H$3),IF($E84=$K84,Setup!$H$2,Setup!$H$3))))))</x:f>
      </x:c>
      <x:c r="N84" s="66" t="str">
        <x:f>IF($A84="","",IF($L84&lt;&gt;"Yes",0,IF(OR($F84="",$G84=""),0,IF(AND($F84=VLOOKUP($C84,Matches!$A$2:$Q$200,9,FALSE),$G84=VLOOKUP($C84,Matches!$A$2:$Q$200,10,FALSE)),Setup!$H$5,0))))</x:f>
      </x:c>
      <x:c r="O84" s="66" t="str">
        <x:f>IF($A84="","",$M84+$N84)</x:f>
      </x:c>
      <x:c r="P84" s="18" t="str">
        <x:f>IF($A84="","",IF($L84="Late","Late - 0 points",IF($J84="","Waiting for result",IF($O84&gt;0,"Scored",IF($O84&lt;0,"Wrong pick","No points")))))</x:f>
      </x:c>
    </x:row>
    <x:row r="85">
      <x:c r="A85" s="60" t="n">
        <x:f>'Form Responses 1'!A85</x:f>
        <x:v>0</x:v>
      </x:c>
      <x:c r="B85" s="18" t="n">
        <x:f>'Form Responses 1'!B85</x:f>
        <x:v>0</x:v>
      </x:c>
      <x:c r="C85" s="18" t="n">
        <x:f>'Form Responses 1'!C85</x:f>
        <x:v>0</x:v>
      </x:c>
      <x:c r="D85" s="18" t="n">
        <x:f>'Form Responses 1'!D85</x:f>
        <x:v>0</x:v>
      </x:c>
      <x:c r="E85" s="18" t="n">
        <x:f>'Form Responses 1'!E85</x:f>
        <x:v>0</x:v>
      </x:c>
      <x:c r="F85" s="18" t="n">
        <x:f>'Form Responses 1'!F85</x:f>
        <x:v>0</x:v>
      </x:c>
      <x:c r="G85" s="18" t="n">
        <x:f>'Form Responses 1'!G85</x:f>
        <x:v>0</x:v>
      </x:c>
      <x:c r="H85" s="18" t="str">
        <x:f>IF($C85="","",IFERROR(VLOOKUP($C85,Matches!$A$2:$Q$200,5,FALSE),"Unknown"))</x:f>
      </x:c>
      <x:c r="I85" s="60" t="str">
        <x:f>IF($C85="","",IFERROR(VLOOKUP($C85,Matches!$A$2:$Q$200,16,FALSE),""))</x:f>
      </x:c>
      <x:c r="J85" s="18" t="str">
        <x:f>IF($C85="","",IFERROR(VLOOKUP($C85,Matches!$A$2:$Q$200,11,FALSE),""))</x:f>
      </x:c>
      <x:c r="K85" s="18" t="str">
        <x:f>IF($C85="","",IFERROR(VLOOKUP($C85,Matches!$A$2:$Q$200,12,FALSE),""))</x:f>
      </x:c>
      <x:c r="L85" s="18" t="str">
        <x:f>IF($A85="","",IF($C85=1,"Yes",IF(OR($I85="",$A85&lt;$I85),"Yes","Late")))</x:f>
      </x:c>
      <x:c r="M85" s="66" t="str">
        <x:f>IF($A85="","",IF($L85&lt;&gt;"Yes",0,IF($E85="",0,IF($J85="",0,IF($H85="Group",IF($E85=$J85,Setup!$H$2,Setup!$H$3),IF($E85=$K85,Setup!$H$2,Setup!$H$3))))))</x:f>
      </x:c>
      <x:c r="N85" s="66" t="str">
        <x:f>IF($A85="","",IF($L85&lt;&gt;"Yes",0,IF(OR($F85="",$G85=""),0,IF(AND($F85=VLOOKUP($C85,Matches!$A$2:$Q$200,9,FALSE),$G85=VLOOKUP($C85,Matches!$A$2:$Q$200,10,FALSE)),Setup!$H$5,0))))</x:f>
      </x:c>
      <x:c r="O85" s="66" t="str">
        <x:f>IF($A85="","",$M85+$N85)</x:f>
      </x:c>
      <x:c r="P85" s="18" t="str">
        <x:f>IF($A85="","",IF($L85="Late","Late - 0 points",IF($J85="","Waiting for result",IF($O85&gt;0,"Scored",IF($O85&lt;0,"Wrong pick","No points")))))</x:f>
      </x:c>
    </x:row>
    <x:row r="86">
      <x:c r="A86" s="60" t="n">
        <x:f>'Form Responses 1'!A86</x:f>
        <x:v>0</x:v>
      </x:c>
      <x:c r="B86" s="18" t="n">
        <x:f>'Form Responses 1'!B86</x:f>
        <x:v>0</x:v>
      </x:c>
      <x:c r="C86" s="18" t="n">
        <x:f>'Form Responses 1'!C86</x:f>
        <x:v>0</x:v>
      </x:c>
      <x:c r="D86" s="18" t="n">
        <x:f>'Form Responses 1'!D86</x:f>
        <x:v>0</x:v>
      </x:c>
      <x:c r="E86" s="18" t="n">
        <x:f>'Form Responses 1'!E86</x:f>
        <x:v>0</x:v>
      </x:c>
      <x:c r="F86" s="18" t="n">
        <x:f>'Form Responses 1'!F86</x:f>
        <x:v>0</x:v>
      </x:c>
      <x:c r="G86" s="18" t="n">
        <x:f>'Form Responses 1'!G86</x:f>
        <x:v>0</x:v>
      </x:c>
      <x:c r="H86" s="18" t="str">
        <x:f>IF($C86="","",IFERROR(VLOOKUP($C86,Matches!$A$2:$Q$200,5,FALSE),"Unknown"))</x:f>
      </x:c>
      <x:c r="I86" s="60" t="str">
        <x:f>IF($C86="","",IFERROR(VLOOKUP($C86,Matches!$A$2:$Q$200,16,FALSE),""))</x:f>
      </x:c>
      <x:c r="J86" s="18" t="str">
        <x:f>IF($C86="","",IFERROR(VLOOKUP($C86,Matches!$A$2:$Q$200,11,FALSE),""))</x:f>
      </x:c>
      <x:c r="K86" s="18" t="str">
        <x:f>IF($C86="","",IFERROR(VLOOKUP($C86,Matches!$A$2:$Q$200,12,FALSE),""))</x:f>
      </x:c>
      <x:c r="L86" s="18" t="str">
        <x:f>IF($A86="","",IF($C86=1,"Yes",IF(OR($I86="",$A86&lt;$I86),"Yes","Late")))</x:f>
      </x:c>
      <x:c r="M86" s="66" t="str">
        <x:f>IF($A86="","",IF($L86&lt;&gt;"Yes",0,IF($E86="",0,IF($J86="",0,IF($H86="Group",IF($E86=$J86,Setup!$H$2,Setup!$H$3),IF($E86=$K86,Setup!$H$2,Setup!$H$3))))))</x:f>
      </x:c>
      <x:c r="N86" s="66" t="str">
        <x:f>IF($A86="","",IF($L86&lt;&gt;"Yes",0,IF(OR($F86="",$G86=""),0,IF(AND($F86=VLOOKUP($C86,Matches!$A$2:$Q$200,9,FALSE),$G86=VLOOKUP($C86,Matches!$A$2:$Q$200,10,FALSE)),Setup!$H$5,0))))</x:f>
      </x:c>
      <x:c r="O86" s="66" t="str">
        <x:f>IF($A86="","",$M86+$N86)</x:f>
      </x:c>
      <x:c r="P86" s="18" t="str">
        <x:f>IF($A86="","",IF($L86="Late","Late - 0 points",IF($J86="","Waiting for result",IF($O86&gt;0,"Scored",IF($O86&lt;0,"Wrong pick","No points")))))</x:f>
      </x:c>
    </x:row>
    <x:row r="87">
      <x:c r="A87" s="60" t="n">
        <x:f>'Form Responses 1'!A87</x:f>
        <x:v>0</x:v>
      </x:c>
      <x:c r="B87" s="18" t="n">
        <x:f>'Form Responses 1'!B87</x:f>
        <x:v>0</x:v>
      </x:c>
      <x:c r="C87" s="18" t="n">
        <x:f>'Form Responses 1'!C87</x:f>
        <x:v>0</x:v>
      </x:c>
      <x:c r="D87" s="18" t="n">
        <x:f>'Form Responses 1'!D87</x:f>
        <x:v>0</x:v>
      </x:c>
      <x:c r="E87" s="18" t="n">
        <x:f>'Form Responses 1'!E87</x:f>
        <x:v>0</x:v>
      </x:c>
      <x:c r="F87" s="18" t="n">
        <x:f>'Form Responses 1'!F87</x:f>
        <x:v>0</x:v>
      </x:c>
      <x:c r="G87" s="18" t="n">
        <x:f>'Form Responses 1'!G87</x:f>
        <x:v>0</x:v>
      </x:c>
      <x:c r="H87" s="18" t="str">
        <x:f>IF($C87="","",IFERROR(VLOOKUP($C87,Matches!$A$2:$Q$200,5,FALSE),"Unknown"))</x:f>
      </x:c>
      <x:c r="I87" s="60" t="str">
        <x:f>IF($C87="","",IFERROR(VLOOKUP($C87,Matches!$A$2:$Q$200,16,FALSE),""))</x:f>
      </x:c>
      <x:c r="J87" s="18" t="str">
        <x:f>IF($C87="","",IFERROR(VLOOKUP($C87,Matches!$A$2:$Q$200,11,FALSE),""))</x:f>
      </x:c>
      <x:c r="K87" s="18" t="str">
        <x:f>IF($C87="","",IFERROR(VLOOKUP($C87,Matches!$A$2:$Q$200,12,FALSE),""))</x:f>
      </x:c>
      <x:c r="L87" s="18" t="str">
        <x:f>IF($A87="","",IF($C87=1,"Yes",IF(OR($I87="",$A87&lt;$I87),"Yes","Late")))</x:f>
      </x:c>
      <x:c r="M87" s="66" t="str">
        <x:f>IF($A87="","",IF($L87&lt;&gt;"Yes",0,IF($E87="",0,IF($J87="",0,IF($H87="Group",IF($E87=$J87,Setup!$H$2,Setup!$H$3),IF($E87=$K87,Setup!$H$2,Setup!$H$3))))))</x:f>
      </x:c>
      <x:c r="N87" s="66" t="str">
        <x:f>IF($A87="","",IF($L87&lt;&gt;"Yes",0,IF(OR($F87="",$G87=""),0,IF(AND($F87=VLOOKUP($C87,Matches!$A$2:$Q$200,9,FALSE),$G87=VLOOKUP($C87,Matches!$A$2:$Q$200,10,FALSE)),Setup!$H$5,0))))</x:f>
      </x:c>
      <x:c r="O87" s="66" t="str">
        <x:f>IF($A87="","",$M87+$N87)</x:f>
      </x:c>
      <x:c r="P87" s="18" t="str">
        <x:f>IF($A87="","",IF($L87="Late","Late - 0 points",IF($J87="","Waiting for result",IF($O87&gt;0,"Scored",IF($O87&lt;0,"Wrong pick","No points")))))</x:f>
      </x:c>
    </x:row>
    <x:row r="88">
      <x:c r="A88" s="60" t="n">
        <x:f>'Form Responses 1'!A88</x:f>
        <x:v>0</x:v>
      </x:c>
      <x:c r="B88" s="18" t="n">
        <x:f>'Form Responses 1'!B88</x:f>
        <x:v>0</x:v>
      </x:c>
      <x:c r="C88" s="18" t="n">
        <x:f>'Form Responses 1'!C88</x:f>
        <x:v>0</x:v>
      </x:c>
      <x:c r="D88" s="18" t="n">
        <x:f>'Form Responses 1'!D88</x:f>
        <x:v>0</x:v>
      </x:c>
      <x:c r="E88" s="18" t="n">
        <x:f>'Form Responses 1'!E88</x:f>
        <x:v>0</x:v>
      </x:c>
      <x:c r="F88" s="18" t="n">
        <x:f>'Form Responses 1'!F88</x:f>
        <x:v>0</x:v>
      </x:c>
      <x:c r="G88" s="18" t="n">
        <x:f>'Form Responses 1'!G88</x:f>
        <x:v>0</x:v>
      </x:c>
      <x:c r="H88" s="18" t="str">
        <x:f>IF($C88="","",IFERROR(VLOOKUP($C88,Matches!$A$2:$Q$200,5,FALSE),"Unknown"))</x:f>
      </x:c>
      <x:c r="I88" s="60" t="str">
        <x:f>IF($C88="","",IFERROR(VLOOKUP($C88,Matches!$A$2:$Q$200,16,FALSE),""))</x:f>
      </x:c>
      <x:c r="J88" s="18" t="str">
        <x:f>IF($C88="","",IFERROR(VLOOKUP($C88,Matches!$A$2:$Q$200,11,FALSE),""))</x:f>
      </x:c>
      <x:c r="K88" s="18" t="str">
        <x:f>IF($C88="","",IFERROR(VLOOKUP($C88,Matches!$A$2:$Q$200,12,FALSE),""))</x:f>
      </x:c>
      <x:c r="L88" s="18" t="str">
        <x:f>IF($A88="","",IF($C88=1,"Yes",IF(OR($I88="",$A88&lt;$I88),"Yes","Late")))</x:f>
      </x:c>
      <x:c r="M88" s="66" t="str">
        <x:f>IF($A88="","",IF($L88&lt;&gt;"Yes",0,IF($E88="",0,IF($J88="",0,IF($H88="Group",IF($E88=$J88,Setup!$H$2,Setup!$H$3),IF($E88=$K88,Setup!$H$2,Setup!$H$3))))))</x:f>
      </x:c>
      <x:c r="N88" s="66" t="str">
        <x:f>IF($A88="","",IF($L88&lt;&gt;"Yes",0,IF(OR($F88="",$G88=""),0,IF(AND($F88=VLOOKUP($C88,Matches!$A$2:$Q$200,9,FALSE),$G88=VLOOKUP($C88,Matches!$A$2:$Q$200,10,FALSE)),Setup!$H$5,0))))</x:f>
      </x:c>
      <x:c r="O88" s="66" t="str">
        <x:f>IF($A88="","",$M88+$N88)</x:f>
      </x:c>
      <x:c r="P88" s="18" t="str">
        <x:f>IF($A88="","",IF($L88="Late","Late - 0 points",IF($J88="","Waiting for result",IF($O88&gt;0,"Scored",IF($O88&lt;0,"Wrong pick","No points")))))</x:f>
      </x:c>
    </x:row>
    <x:row r="89">
      <x:c r="A89" s="60" t="n">
        <x:f>'Form Responses 1'!A89</x:f>
        <x:v>0</x:v>
      </x:c>
      <x:c r="B89" s="18" t="n">
        <x:f>'Form Responses 1'!B89</x:f>
        <x:v>0</x:v>
      </x:c>
      <x:c r="C89" s="18" t="n">
        <x:f>'Form Responses 1'!C89</x:f>
        <x:v>0</x:v>
      </x:c>
      <x:c r="D89" s="18" t="n">
        <x:f>'Form Responses 1'!D89</x:f>
        <x:v>0</x:v>
      </x:c>
      <x:c r="E89" s="18" t="n">
        <x:f>'Form Responses 1'!E89</x:f>
        <x:v>0</x:v>
      </x:c>
      <x:c r="F89" s="18" t="n">
        <x:f>'Form Responses 1'!F89</x:f>
        <x:v>0</x:v>
      </x:c>
      <x:c r="G89" s="18" t="n">
        <x:f>'Form Responses 1'!G89</x:f>
        <x:v>0</x:v>
      </x:c>
      <x:c r="H89" s="18" t="str">
        <x:f>IF($C89="","",IFERROR(VLOOKUP($C89,Matches!$A$2:$Q$200,5,FALSE),"Unknown"))</x:f>
      </x:c>
      <x:c r="I89" s="60" t="str">
        <x:f>IF($C89="","",IFERROR(VLOOKUP($C89,Matches!$A$2:$Q$200,16,FALSE),""))</x:f>
      </x:c>
      <x:c r="J89" s="18" t="str">
        <x:f>IF($C89="","",IFERROR(VLOOKUP($C89,Matches!$A$2:$Q$200,11,FALSE),""))</x:f>
      </x:c>
      <x:c r="K89" s="18" t="str">
        <x:f>IF($C89="","",IFERROR(VLOOKUP($C89,Matches!$A$2:$Q$200,12,FALSE),""))</x:f>
      </x:c>
      <x:c r="L89" s="18" t="str">
        <x:f>IF($A89="","",IF($C89=1,"Yes",IF(OR($I89="",$A89&lt;$I89),"Yes","Late")))</x:f>
      </x:c>
      <x:c r="M89" s="66" t="str">
        <x:f>IF($A89="","",IF($L89&lt;&gt;"Yes",0,IF($E89="",0,IF($J89="",0,IF($H89="Group",IF($E89=$J89,Setup!$H$2,Setup!$H$3),IF($E89=$K89,Setup!$H$2,Setup!$H$3))))))</x:f>
      </x:c>
      <x:c r="N89" s="66" t="str">
        <x:f>IF($A89="","",IF($L89&lt;&gt;"Yes",0,IF(OR($F89="",$G89=""),0,IF(AND($F89=VLOOKUP($C89,Matches!$A$2:$Q$200,9,FALSE),$G89=VLOOKUP($C89,Matches!$A$2:$Q$200,10,FALSE)),Setup!$H$5,0))))</x:f>
      </x:c>
      <x:c r="O89" s="66" t="str">
        <x:f>IF($A89="","",$M89+$N89)</x:f>
      </x:c>
      <x:c r="P89" s="18" t="str">
        <x:f>IF($A89="","",IF($L89="Late","Late - 0 points",IF($J89="","Waiting for result",IF($O89&gt;0,"Scored",IF($O89&lt;0,"Wrong pick","No points")))))</x:f>
      </x:c>
    </x:row>
    <x:row r="90">
      <x:c r="A90" s="60" t="n">
        <x:f>'Form Responses 1'!A90</x:f>
        <x:v>0</x:v>
      </x:c>
      <x:c r="B90" s="18" t="n">
        <x:f>'Form Responses 1'!B90</x:f>
        <x:v>0</x:v>
      </x:c>
      <x:c r="C90" s="18" t="n">
        <x:f>'Form Responses 1'!C90</x:f>
        <x:v>0</x:v>
      </x:c>
      <x:c r="D90" s="18" t="n">
        <x:f>'Form Responses 1'!D90</x:f>
        <x:v>0</x:v>
      </x:c>
      <x:c r="E90" s="18" t="n">
        <x:f>'Form Responses 1'!E90</x:f>
        <x:v>0</x:v>
      </x:c>
      <x:c r="F90" s="18" t="n">
        <x:f>'Form Responses 1'!F90</x:f>
        <x:v>0</x:v>
      </x:c>
      <x:c r="G90" s="18" t="n">
        <x:f>'Form Responses 1'!G90</x:f>
        <x:v>0</x:v>
      </x:c>
      <x:c r="H90" s="18" t="str">
        <x:f>IF($C90="","",IFERROR(VLOOKUP($C90,Matches!$A$2:$Q$200,5,FALSE),"Unknown"))</x:f>
      </x:c>
      <x:c r="I90" s="60" t="str">
        <x:f>IF($C90="","",IFERROR(VLOOKUP($C90,Matches!$A$2:$Q$200,16,FALSE),""))</x:f>
      </x:c>
      <x:c r="J90" s="18" t="str">
        <x:f>IF($C90="","",IFERROR(VLOOKUP($C90,Matches!$A$2:$Q$200,11,FALSE),""))</x:f>
      </x:c>
      <x:c r="K90" s="18" t="str">
        <x:f>IF($C90="","",IFERROR(VLOOKUP($C90,Matches!$A$2:$Q$200,12,FALSE),""))</x:f>
      </x:c>
      <x:c r="L90" s="18" t="str">
        <x:f>IF($A90="","",IF($C90=1,"Yes",IF(OR($I90="",$A90&lt;$I90),"Yes","Late")))</x:f>
      </x:c>
      <x:c r="M90" s="66" t="str">
        <x:f>IF($A90="","",IF($L90&lt;&gt;"Yes",0,IF($E90="",0,IF($J90="",0,IF($H90="Group",IF($E90=$J90,Setup!$H$2,Setup!$H$3),IF($E90=$K90,Setup!$H$2,Setup!$H$3))))))</x:f>
      </x:c>
      <x:c r="N90" s="66" t="str">
        <x:f>IF($A90="","",IF($L90&lt;&gt;"Yes",0,IF(OR($F90="",$G90=""),0,IF(AND($F90=VLOOKUP($C90,Matches!$A$2:$Q$200,9,FALSE),$G90=VLOOKUP($C90,Matches!$A$2:$Q$200,10,FALSE)),Setup!$H$5,0))))</x:f>
      </x:c>
      <x:c r="O90" s="66" t="str">
        <x:f>IF($A90="","",$M90+$N90)</x:f>
      </x:c>
      <x:c r="P90" s="18" t="str">
        <x:f>IF($A90="","",IF($L90="Late","Late - 0 points",IF($J90="","Waiting for result",IF($O90&gt;0,"Scored",IF($O90&lt;0,"Wrong pick","No points")))))</x:f>
      </x:c>
    </x:row>
    <x:row r="91">
      <x:c r="A91" s="60" t="n">
        <x:f>'Form Responses 1'!A91</x:f>
        <x:v>0</x:v>
      </x:c>
      <x:c r="B91" s="18" t="n">
        <x:f>'Form Responses 1'!B91</x:f>
        <x:v>0</x:v>
      </x:c>
      <x:c r="C91" s="18" t="n">
        <x:f>'Form Responses 1'!C91</x:f>
        <x:v>0</x:v>
      </x:c>
      <x:c r="D91" s="18" t="n">
        <x:f>'Form Responses 1'!D91</x:f>
        <x:v>0</x:v>
      </x:c>
      <x:c r="E91" s="18" t="n">
        <x:f>'Form Responses 1'!E91</x:f>
        <x:v>0</x:v>
      </x:c>
      <x:c r="F91" s="18" t="n">
        <x:f>'Form Responses 1'!F91</x:f>
        <x:v>0</x:v>
      </x:c>
      <x:c r="G91" s="18" t="n">
        <x:f>'Form Responses 1'!G91</x:f>
        <x:v>0</x:v>
      </x:c>
      <x:c r="H91" s="18" t="str">
        <x:f>IF($C91="","",IFERROR(VLOOKUP($C91,Matches!$A$2:$Q$200,5,FALSE),"Unknown"))</x:f>
      </x:c>
      <x:c r="I91" s="60" t="str">
        <x:f>IF($C91="","",IFERROR(VLOOKUP($C91,Matches!$A$2:$Q$200,16,FALSE),""))</x:f>
      </x:c>
      <x:c r="J91" s="18" t="str">
        <x:f>IF($C91="","",IFERROR(VLOOKUP($C91,Matches!$A$2:$Q$200,11,FALSE),""))</x:f>
      </x:c>
      <x:c r="K91" s="18" t="str">
        <x:f>IF($C91="","",IFERROR(VLOOKUP($C91,Matches!$A$2:$Q$200,12,FALSE),""))</x:f>
      </x:c>
      <x:c r="L91" s="18" t="str">
        <x:f>IF($A91="","",IF($C91=1,"Yes",IF(OR($I91="",$A91&lt;$I91),"Yes","Late")))</x:f>
      </x:c>
      <x:c r="M91" s="66" t="str">
        <x:f>IF($A91="","",IF($L91&lt;&gt;"Yes",0,IF($E91="",0,IF($J91="",0,IF($H91="Group",IF($E91=$J91,Setup!$H$2,Setup!$H$3),IF($E91=$K91,Setup!$H$2,Setup!$H$3))))))</x:f>
      </x:c>
      <x:c r="N91" s="66" t="str">
        <x:f>IF($A91="","",IF($L91&lt;&gt;"Yes",0,IF(OR($F91="",$G91=""),0,IF(AND($F91=VLOOKUP($C91,Matches!$A$2:$Q$200,9,FALSE),$G91=VLOOKUP($C91,Matches!$A$2:$Q$200,10,FALSE)),Setup!$H$5,0))))</x:f>
      </x:c>
      <x:c r="O91" s="66" t="str">
        <x:f>IF($A91="","",$M91+$N91)</x:f>
      </x:c>
      <x:c r="P91" s="18" t="str">
        <x:f>IF($A91="","",IF($L91="Late","Late - 0 points",IF($J91="","Waiting for result",IF($O91&gt;0,"Scored",IF($O91&lt;0,"Wrong pick","No points")))))</x:f>
      </x:c>
    </x:row>
    <x:row r="92">
      <x:c r="A92" s="60" t="n">
        <x:f>'Form Responses 1'!A92</x:f>
        <x:v>0</x:v>
      </x:c>
      <x:c r="B92" s="18" t="n">
        <x:f>'Form Responses 1'!B92</x:f>
        <x:v>0</x:v>
      </x:c>
      <x:c r="C92" s="18" t="n">
        <x:f>'Form Responses 1'!C92</x:f>
        <x:v>0</x:v>
      </x:c>
      <x:c r="D92" s="18" t="n">
        <x:f>'Form Responses 1'!D92</x:f>
        <x:v>0</x:v>
      </x:c>
      <x:c r="E92" s="18" t="n">
        <x:f>'Form Responses 1'!E92</x:f>
        <x:v>0</x:v>
      </x:c>
      <x:c r="F92" s="18" t="n">
        <x:f>'Form Responses 1'!F92</x:f>
        <x:v>0</x:v>
      </x:c>
      <x:c r="G92" s="18" t="n">
        <x:f>'Form Responses 1'!G92</x:f>
        <x:v>0</x:v>
      </x:c>
      <x:c r="H92" s="18" t="str">
        <x:f>IF($C92="","",IFERROR(VLOOKUP($C92,Matches!$A$2:$Q$200,5,FALSE),"Unknown"))</x:f>
      </x:c>
      <x:c r="I92" s="60" t="str">
        <x:f>IF($C92="","",IFERROR(VLOOKUP($C92,Matches!$A$2:$Q$200,16,FALSE),""))</x:f>
      </x:c>
      <x:c r="J92" s="18" t="str">
        <x:f>IF($C92="","",IFERROR(VLOOKUP($C92,Matches!$A$2:$Q$200,11,FALSE),""))</x:f>
      </x:c>
      <x:c r="K92" s="18" t="str">
        <x:f>IF($C92="","",IFERROR(VLOOKUP($C92,Matches!$A$2:$Q$200,12,FALSE),""))</x:f>
      </x:c>
      <x:c r="L92" s="18" t="str">
        <x:f>IF($A92="","",IF($C92=1,"Yes",IF(OR($I92="",$A92&lt;$I92),"Yes","Late")))</x:f>
      </x:c>
      <x:c r="M92" s="66" t="str">
        <x:f>IF($A92="","",IF($L92&lt;&gt;"Yes",0,IF($E92="",0,IF($J92="",0,IF($H92="Group",IF($E92=$J92,Setup!$H$2,Setup!$H$3),IF($E92=$K92,Setup!$H$2,Setup!$H$3))))))</x:f>
      </x:c>
      <x:c r="N92" s="66" t="str">
        <x:f>IF($A92="","",IF($L92&lt;&gt;"Yes",0,IF(OR($F92="",$G92=""),0,IF(AND($F92=VLOOKUP($C92,Matches!$A$2:$Q$200,9,FALSE),$G92=VLOOKUP($C92,Matches!$A$2:$Q$200,10,FALSE)),Setup!$H$5,0))))</x:f>
      </x:c>
      <x:c r="O92" s="66" t="str">
        <x:f>IF($A92="","",$M92+$N92)</x:f>
      </x:c>
      <x:c r="P92" s="18" t="str">
        <x:f>IF($A92="","",IF($L92="Late","Late - 0 points",IF($J92="","Waiting for result",IF($O92&gt;0,"Scored",IF($O92&lt;0,"Wrong pick","No points")))))</x:f>
      </x:c>
    </x:row>
    <x:row r="93">
      <x:c r="A93" s="60" t="n">
        <x:f>'Form Responses 1'!A93</x:f>
        <x:v>0</x:v>
      </x:c>
      <x:c r="B93" s="18" t="n">
        <x:f>'Form Responses 1'!B93</x:f>
        <x:v>0</x:v>
      </x:c>
      <x:c r="C93" s="18" t="n">
        <x:f>'Form Responses 1'!C93</x:f>
        <x:v>0</x:v>
      </x:c>
      <x:c r="D93" s="18" t="n">
        <x:f>'Form Responses 1'!D93</x:f>
        <x:v>0</x:v>
      </x:c>
      <x:c r="E93" s="18" t="n">
        <x:f>'Form Responses 1'!E93</x:f>
        <x:v>0</x:v>
      </x:c>
      <x:c r="F93" s="18" t="n">
        <x:f>'Form Responses 1'!F93</x:f>
        <x:v>0</x:v>
      </x:c>
      <x:c r="G93" s="18" t="n">
        <x:f>'Form Responses 1'!G93</x:f>
        <x:v>0</x:v>
      </x:c>
      <x:c r="H93" s="18" t="str">
        <x:f>IF($C93="","",IFERROR(VLOOKUP($C93,Matches!$A$2:$Q$200,5,FALSE),"Unknown"))</x:f>
      </x:c>
      <x:c r="I93" s="60" t="str">
        <x:f>IF($C93="","",IFERROR(VLOOKUP($C93,Matches!$A$2:$Q$200,16,FALSE),""))</x:f>
      </x:c>
      <x:c r="J93" s="18" t="str">
        <x:f>IF($C93="","",IFERROR(VLOOKUP($C93,Matches!$A$2:$Q$200,11,FALSE),""))</x:f>
      </x:c>
      <x:c r="K93" s="18" t="str">
        <x:f>IF($C93="","",IFERROR(VLOOKUP($C93,Matches!$A$2:$Q$200,12,FALSE),""))</x:f>
      </x:c>
      <x:c r="L93" s="18" t="str">
        <x:f>IF($A93="","",IF($C93=1,"Yes",IF(OR($I93="",$A93&lt;$I93),"Yes","Late")))</x:f>
      </x:c>
      <x:c r="M93" s="66" t="str">
        <x:f>IF($A93="","",IF($L93&lt;&gt;"Yes",0,IF($E93="",0,IF($J93="",0,IF($H93="Group",IF($E93=$J93,Setup!$H$2,Setup!$H$3),IF($E93=$K93,Setup!$H$2,Setup!$H$3))))))</x:f>
      </x:c>
      <x:c r="N93" s="66" t="str">
        <x:f>IF($A93="","",IF($L93&lt;&gt;"Yes",0,IF(OR($F93="",$G93=""),0,IF(AND($F93=VLOOKUP($C93,Matches!$A$2:$Q$200,9,FALSE),$G93=VLOOKUP($C93,Matches!$A$2:$Q$200,10,FALSE)),Setup!$H$5,0))))</x:f>
      </x:c>
      <x:c r="O93" s="66" t="str">
        <x:f>IF($A93="","",$M93+$N93)</x:f>
      </x:c>
      <x:c r="P93" s="18" t="str">
        <x:f>IF($A93="","",IF($L93="Late","Late - 0 points",IF($J93="","Waiting for result",IF($O93&gt;0,"Scored",IF($O93&lt;0,"Wrong pick","No points")))))</x:f>
      </x:c>
    </x:row>
    <x:row r="94">
      <x:c r="A94" s="60" t="n">
        <x:f>'Form Responses 1'!A94</x:f>
        <x:v>0</x:v>
      </x:c>
      <x:c r="B94" s="18" t="n">
        <x:f>'Form Responses 1'!B94</x:f>
        <x:v>0</x:v>
      </x:c>
      <x:c r="C94" s="18" t="n">
        <x:f>'Form Responses 1'!C94</x:f>
        <x:v>0</x:v>
      </x:c>
      <x:c r="D94" s="18" t="n">
        <x:f>'Form Responses 1'!D94</x:f>
        <x:v>0</x:v>
      </x:c>
      <x:c r="E94" s="18" t="n">
        <x:f>'Form Responses 1'!E94</x:f>
        <x:v>0</x:v>
      </x:c>
      <x:c r="F94" s="18" t="n">
        <x:f>'Form Responses 1'!F94</x:f>
        <x:v>0</x:v>
      </x:c>
      <x:c r="G94" s="18" t="n">
        <x:f>'Form Responses 1'!G94</x:f>
        <x:v>0</x:v>
      </x:c>
      <x:c r="H94" s="18" t="str">
        <x:f>IF($C94="","",IFERROR(VLOOKUP($C94,Matches!$A$2:$Q$200,5,FALSE),"Unknown"))</x:f>
      </x:c>
      <x:c r="I94" s="60" t="str">
        <x:f>IF($C94="","",IFERROR(VLOOKUP($C94,Matches!$A$2:$Q$200,16,FALSE),""))</x:f>
      </x:c>
      <x:c r="J94" s="18" t="str">
        <x:f>IF($C94="","",IFERROR(VLOOKUP($C94,Matches!$A$2:$Q$200,11,FALSE),""))</x:f>
      </x:c>
      <x:c r="K94" s="18" t="str">
        <x:f>IF($C94="","",IFERROR(VLOOKUP($C94,Matches!$A$2:$Q$200,12,FALSE),""))</x:f>
      </x:c>
      <x:c r="L94" s="18" t="str">
        <x:f>IF($A94="","",IF($C94=1,"Yes",IF(OR($I94="",$A94&lt;$I94),"Yes","Late")))</x:f>
      </x:c>
      <x:c r="M94" s="66" t="str">
        <x:f>IF($A94="","",IF($L94&lt;&gt;"Yes",0,IF($E94="",0,IF($J94="",0,IF($H94="Group",IF($E94=$J94,Setup!$H$2,Setup!$H$3),IF($E94=$K94,Setup!$H$2,Setup!$H$3))))))</x:f>
      </x:c>
      <x:c r="N94" s="66" t="str">
        <x:f>IF($A94="","",IF($L94&lt;&gt;"Yes",0,IF(OR($F94="",$G94=""),0,IF(AND($F94=VLOOKUP($C94,Matches!$A$2:$Q$200,9,FALSE),$G94=VLOOKUP($C94,Matches!$A$2:$Q$200,10,FALSE)),Setup!$H$5,0))))</x:f>
      </x:c>
      <x:c r="O94" s="66" t="str">
        <x:f>IF($A94="","",$M94+$N94)</x:f>
      </x:c>
      <x:c r="P94" s="18" t="str">
        <x:f>IF($A94="","",IF($L94="Late","Late - 0 points",IF($J94="","Waiting for result",IF($O94&gt;0,"Scored",IF($O94&lt;0,"Wrong pick","No points")))))</x:f>
      </x:c>
    </x:row>
    <x:row r="95">
      <x:c r="A95" s="60" t="n">
        <x:f>'Form Responses 1'!A95</x:f>
        <x:v>0</x:v>
      </x:c>
      <x:c r="B95" s="18" t="n">
        <x:f>'Form Responses 1'!B95</x:f>
        <x:v>0</x:v>
      </x:c>
      <x:c r="C95" s="18" t="n">
        <x:f>'Form Responses 1'!C95</x:f>
        <x:v>0</x:v>
      </x:c>
      <x:c r="D95" s="18" t="n">
        <x:f>'Form Responses 1'!D95</x:f>
        <x:v>0</x:v>
      </x:c>
      <x:c r="E95" s="18" t="n">
        <x:f>'Form Responses 1'!E95</x:f>
        <x:v>0</x:v>
      </x:c>
      <x:c r="F95" s="18" t="n">
        <x:f>'Form Responses 1'!F95</x:f>
        <x:v>0</x:v>
      </x:c>
      <x:c r="G95" s="18" t="n">
        <x:f>'Form Responses 1'!G95</x:f>
        <x:v>0</x:v>
      </x:c>
      <x:c r="H95" s="18" t="str">
        <x:f>IF($C95="","",IFERROR(VLOOKUP($C95,Matches!$A$2:$Q$200,5,FALSE),"Unknown"))</x:f>
      </x:c>
      <x:c r="I95" s="60" t="str">
        <x:f>IF($C95="","",IFERROR(VLOOKUP($C95,Matches!$A$2:$Q$200,16,FALSE),""))</x:f>
      </x:c>
      <x:c r="J95" s="18" t="str">
        <x:f>IF($C95="","",IFERROR(VLOOKUP($C95,Matches!$A$2:$Q$200,11,FALSE),""))</x:f>
      </x:c>
      <x:c r="K95" s="18" t="str">
        <x:f>IF($C95="","",IFERROR(VLOOKUP($C95,Matches!$A$2:$Q$200,12,FALSE),""))</x:f>
      </x:c>
      <x:c r="L95" s="18" t="str">
        <x:f>IF($A95="","",IF($C95=1,"Yes",IF(OR($I95="",$A95&lt;$I95),"Yes","Late")))</x:f>
      </x:c>
      <x:c r="M95" s="66" t="str">
        <x:f>IF($A95="","",IF($L95&lt;&gt;"Yes",0,IF($E95="",0,IF($J95="",0,IF($H95="Group",IF($E95=$J95,Setup!$H$2,Setup!$H$3),IF($E95=$K95,Setup!$H$2,Setup!$H$3))))))</x:f>
      </x:c>
      <x:c r="N95" s="66" t="str">
        <x:f>IF($A95="","",IF($L95&lt;&gt;"Yes",0,IF(OR($F95="",$G95=""),0,IF(AND($F95=VLOOKUP($C95,Matches!$A$2:$Q$200,9,FALSE),$G95=VLOOKUP($C95,Matches!$A$2:$Q$200,10,FALSE)),Setup!$H$5,0))))</x:f>
      </x:c>
      <x:c r="O95" s="66" t="str">
        <x:f>IF($A95="","",$M95+$N95)</x:f>
      </x:c>
      <x:c r="P95" s="18" t="str">
        <x:f>IF($A95="","",IF($L95="Late","Late - 0 points",IF($J95="","Waiting for result",IF($O95&gt;0,"Scored",IF($O95&lt;0,"Wrong pick","No points")))))</x:f>
      </x:c>
    </x:row>
    <x:row r="96">
      <x:c r="A96" s="60" t="n">
        <x:f>'Form Responses 1'!A96</x:f>
        <x:v>0</x:v>
      </x:c>
      <x:c r="B96" s="18" t="n">
        <x:f>'Form Responses 1'!B96</x:f>
        <x:v>0</x:v>
      </x:c>
      <x:c r="C96" s="18" t="n">
        <x:f>'Form Responses 1'!C96</x:f>
        <x:v>0</x:v>
      </x:c>
      <x:c r="D96" s="18" t="n">
        <x:f>'Form Responses 1'!D96</x:f>
        <x:v>0</x:v>
      </x:c>
      <x:c r="E96" s="18" t="n">
        <x:f>'Form Responses 1'!E96</x:f>
        <x:v>0</x:v>
      </x:c>
      <x:c r="F96" s="18" t="n">
        <x:f>'Form Responses 1'!F96</x:f>
        <x:v>0</x:v>
      </x:c>
      <x:c r="G96" s="18" t="n">
        <x:f>'Form Responses 1'!G96</x:f>
        <x:v>0</x:v>
      </x:c>
      <x:c r="H96" s="18" t="str">
        <x:f>IF($C96="","",IFERROR(VLOOKUP($C96,Matches!$A$2:$Q$200,5,FALSE),"Unknown"))</x:f>
      </x:c>
      <x:c r="I96" s="60" t="str">
        <x:f>IF($C96="","",IFERROR(VLOOKUP($C96,Matches!$A$2:$Q$200,16,FALSE),""))</x:f>
      </x:c>
      <x:c r="J96" s="18" t="str">
        <x:f>IF($C96="","",IFERROR(VLOOKUP($C96,Matches!$A$2:$Q$200,11,FALSE),""))</x:f>
      </x:c>
      <x:c r="K96" s="18" t="str">
        <x:f>IF($C96="","",IFERROR(VLOOKUP($C96,Matches!$A$2:$Q$200,12,FALSE),""))</x:f>
      </x:c>
      <x:c r="L96" s="18" t="str">
        <x:f>IF($A96="","",IF($C96=1,"Yes",IF(OR($I96="",$A96&lt;$I96),"Yes","Late")))</x:f>
      </x:c>
      <x:c r="M96" s="66" t="str">
        <x:f>IF($A96="","",IF($L96&lt;&gt;"Yes",0,IF($E96="",0,IF($J96="",0,IF($H96="Group",IF($E96=$J96,Setup!$H$2,Setup!$H$3),IF($E96=$K96,Setup!$H$2,Setup!$H$3))))))</x:f>
      </x:c>
      <x:c r="N96" s="66" t="str">
        <x:f>IF($A96="","",IF($L96&lt;&gt;"Yes",0,IF(OR($F96="",$G96=""),0,IF(AND($F96=VLOOKUP($C96,Matches!$A$2:$Q$200,9,FALSE),$G96=VLOOKUP($C96,Matches!$A$2:$Q$200,10,FALSE)),Setup!$H$5,0))))</x:f>
      </x:c>
      <x:c r="O96" s="66" t="str">
        <x:f>IF($A96="","",$M96+$N96)</x:f>
      </x:c>
      <x:c r="P96" s="18" t="str">
        <x:f>IF($A96="","",IF($L96="Late","Late - 0 points",IF($J96="","Waiting for result",IF($O96&gt;0,"Scored",IF($O96&lt;0,"Wrong pick","No points")))))</x:f>
      </x:c>
    </x:row>
    <x:row r="97">
      <x:c r="A97" s="60" t="n">
        <x:f>'Form Responses 1'!A97</x:f>
        <x:v>0</x:v>
      </x:c>
      <x:c r="B97" s="18" t="n">
        <x:f>'Form Responses 1'!B97</x:f>
        <x:v>0</x:v>
      </x:c>
      <x:c r="C97" s="18" t="n">
        <x:f>'Form Responses 1'!C97</x:f>
        <x:v>0</x:v>
      </x:c>
      <x:c r="D97" s="18" t="n">
        <x:f>'Form Responses 1'!D97</x:f>
        <x:v>0</x:v>
      </x:c>
      <x:c r="E97" s="18" t="n">
        <x:f>'Form Responses 1'!E97</x:f>
        <x:v>0</x:v>
      </x:c>
      <x:c r="F97" s="18" t="n">
        <x:f>'Form Responses 1'!F97</x:f>
        <x:v>0</x:v>
      </x:c>
      <x:c r="G97" s="18" t="n">
        <x:f>'Form Responses 1'!G97</x:f>
        <x:v>0</x:v>
      </x:c>
      <x:c r="H97" s="18" t="str">
        <x:f>IF($C97="","",IFERROR(VLOOKUP($C97,Matches!$A$2:$Q$200,5,FALSE),"Unknown"))</x:f>
      </x:c>
      <x:c r="I97" s="60" t="str">
        <x:f>IF($C97="","",IFERROR(VLOOKUP($C97,Matches!$A$2:$Q$200,16,FALSE),""))</x:f>
      </x:c>
      <x:c r="J97" s="18" t="str">
        <x:f>IF($C97="","",IFERROR(VLOOKUP($C97,Matches!$A$2:$Q$200,11,FALSE),""))</x:f>
      </x:c>
      <x:c r="K97" s="18" t="str">
        <x:f>IF($C97="","",IFERROR(VLOOKUP($C97,Matches!$A$2:$Q$200,12,FALSE),""))</x:f>
      </x:c>
      <x:c r="L97" s="18" t="str">
        <x:f>IF($A97="","",IF($C97=1,"Yes",IF(OR($I97="",$A97&lt;$I97),"Yes","Late")))</x:f>
      </x:c>
      <x:c r="M97" s="66" t="str">
        <x:f>IF($A97="","",IF($L97&lt;&gt;"Yes",0,IF($E97="",0,IF($J97="",0,IF($H97="Group",IF($E97=$J97,Setup!$H$2,Setup!$H$3),IF($E97=$K97,Setup!$H$2,Setup!$H$3))))))</x:f>
      </x:c>
      <x:c r="N97" s="66" t="str">
        <x:f>IF($A97="","",IF($L97&lt;&gt;"Yes",0,IF(OR($F97="",$G97=""),0,IF(AND($F97=VLOOKUP($C97,Matches!$A$2:$Q$200,9,FALSE),$G97=VLOOKUP($C97,Matches!$A$2:$Q$200,10,FALSE)),Setup!$H$5,0))))</x:f>
      </x:c>
      <x:c r="O97" s="66" t="str">
        <x:f>IF($A97="","",$M97+$N97)</x:f>
      </x:c>
      <x:c r="P97" s="18" t="str">
        <x:f>IF($A97="","",IF($L97="Late","Late - 0 points",IF($J97="","Waiting for result",IF($O97&gt;0,"Scored",IF($O97&lt;0,"Wrong pick","No points")))))</x:f>
      </x:c>
    </x:row>
    <x:row r="98">
      <x:c r="A98" s="60" t="n">
        <x:f>'Form Responses 1'!A98</x:f>
        <x:v>0</x:v>
      </x:c>
      <x:c r="B98" s="18" t="n">
        <x:f>'Form Responses 1'!B98</x:f>
        <x:v>0</x:v>
      </x:c>
      <x:c r="C98" s="18" t="n">
        <x:f>'Form Responses 1'!C98</x:f>
        <x:v>0</x:v>
      </x:c>
      <x:c r="D98" s="18" t="n">
        <x:f>'Form Responses 1'!D98</x:f>
        <x:v>0</x:v>
      </x:c>
      <x:c r="E98" s="18" t="n">
        <x:f>'Form Responses 1'!E98</x:f>
        <x:v>0</x:v>
      </x:c>
      <x:c r="F98" s="18" t="n">
        <x:f>'Form Responses 1'!F98</x:f>
        <x:v>0</x:v>
      </x:c>
      <x:c r="G98" s="18" t="n">
        <x:f>'Form Responses 1'!G98</x:f>
        <x:v>0</x:v>
      </x:c>
      <x:c r="H98" s="18" t="str">
        <x:f>IF($C98="","",IFERROR(VLOOKUP($C98,Matches!$A$2:$Q$200,5,FALSE),"Unknown"))</x:f>
      </x:c>
      <x:c r="I98" s="60" t="str">
        <x:f>IF($C98="","",IFERROR(VLOOKUP($C98,Matches!$A$2:$Q$200,16,FALSE),""))</x:f>
      </x:c>
      <x:c r="J98" s="18" t="str">
        <x:f>IF($C98="","",IFERROR(VLOOKUP($C98,Matches!$A$2:$Q$200,11,FALSE),""))</x:f>
      </x:c>
      <x:c r="K98" s="18" t="str">
        <x:f>IF($C98="","",IFERROR(VLOOKUP($C98,Matches!$A$2:$Q$200,12,FALSE),""))</x:f>
      </x:c>
      <x:c r="L98" s="18" t="str">
        <x:f>IF($A98="","",IF($C98=1,"Yes",IF(OR($I98="",$A98&lt;$I98),"Yes","Late")))</x:f>
      </x:c>
      <x:c r="M98" s="66" t="str">
        <x:f>IF($A98="","",IF($L98&lt;&gt;"Yes",0,IF($E98="",0,IF($J98="",0,IF($H98="Group",IF($E98=$J98,Setup!$H$2,Setup!$H$3),IF($E98=$K98,Setup!$H$2,Setup!$H$3))))))</x:f>
      </x:c>
      <x:c r="N98" s="66" t="str">
        <x:f>IF($A98="","",IF($L98&lt;&gt;"Yes",0,IF(OR($F98="",$G98=""),0,IF(AND($F98=VLOOKUP($C98,Matches!$A$2:$Q$200,9,FALSE),$G98=VLOOKUP($C98,Matches!$A$2:$Q$200,10,FALSE)),Setup!$H$5,0))))</x:f>
      </x:c>
      <x:c r="O98" s="66" t="str">
        <x:f>IF($A98="","",$M98+$N98)</x:f>
      </x:c>
      <x:c r="P98" s="18" t="str">
        <x:f>IF($A98="","",IF($L98="Late","Late - 0 points",IF($J98="","Waiting for result",IF($O98&gt;0,"Scored",IF($O98&lt;0,"Wrong pick","No points")))))</x:f>
      </x:c>
    </x:row>
    <x:row r="99">
      <x:c r="A99" s="60" t="n">
        <x:f>'Form Responses 1'!A99</x:f>
        <x:v>0</x:v>
      </x:c>
      <x:c r="B99" s="18" t="n">
        <x:f>'Form Responses 1'!B99</x:f>
        <x:v>0</x:v>
      </x:c>
      <x:c r="C99" s="18" t="n">
        <x:f>'Form Responses 1'!C99</x:f>
        <x:v>0</x:v>
      </x:c>
      <x:c r="D99" s="18" t="n">
        <x:f>'Form Responses 1'!D99</x:f>
        <x:v>0</x:v>
      </x:c>
      <x:c r="E99" s="18" t="n">
        <x:f>'Form Responses 1'!E99</x:f>
        <x:v>0</x:v>
      </x:c>
      <x:c r="F99" s="18" t="n">
        <x:f>'Form Responses 1'!F99</x:f>
        <x:v>0</x:v>
      </x:c>
      <x:c r="G99" s="18" t="n">
        <x:f>'Form Responses 1'!G99</x:f>
        <x:v>0</x:v>
      </x:c>
      <x:c r="H99" s="18" t="str">
        <x:f>IF($C99="","",IFERROR(VLOOKUP($C99,Matches!$A$2:$Q$200,5,FALSE),"Unknown"))</x:f>
      </x:c>
      <x:c r="I99" s="60" t="str">
        <x:f>IF($C99="","",IFERROR(VLOOKUP($C99,Matches!$A$2:$Q$200,16,FALSE),""))</x:f>
      </x:c>
      <x:c r="J99" s="18" t="str">
        <x:f>IF($C99="","",IFERROR(VLOOKUP($C99,Matches!$A$2:$Q$200,11,FALSE),""))</x:f>
      </x:c>
      <x:c r="K99" s="18" t="str">
        <x:f>IF($C99="","",IFERROR(VLOOKUP($C99,Matches!$A$2:$Q$200,12,FALSE),""))</x:f>
      </x:c>
      <x:c r="L99" s="18" t="str">
        <x:f>IF($A99="","",IF($C99=1,"Yes",IF(OR($I99="",$A99&lt;$I99),"Yes","Late")))</x:f>
      </x:c>
      <x:c r="M99" s="66" t="str">
        <x:f>IF($A99="","",IF($L99&lt;&gt;"Yes",0,IF($E99="",0,IF($J99="",0,IF($H99="Group",IF($E99=$J99,Setup!$H$2,Setup!$H$3),IF($E99=$K99,Setup!$H$2,Setup!$H$3))))))</x:f>
      </x:c>
      <x:c r="N99" s="66" t="str">
        <x:f>IF($A99="","",IF($L99&lt;&gt;"Yes",0,IF(OR($F99="",$G99=""),0,IF(AND($F99=VLOOKUP($C99,Matches!$A$2:$Q$200,9,FALSE),$G99=VLOOKUP($C99,Matches!$A$2:$Q$200,10,FALSE)),Setup!$H$5,0))))</x:f>
      </x:c>
      <x:c r="O99" s="66" t="str">
        <x:f>IF($A99="","",$M99+$N99)</x:f>
      </x:c>
      <x:c r="P99" s="18" t="str">
        <x:f>IF($A99="","",IF($L99="Late","Late - 0 points",IF($J99="","Waiting for result",IF($O99&gt;0,"Scored",IF($O99&lt;0,"Wrong pick","No points")))))</x:f>
      </x:c>
    </x:row>
    <x:row r="100">
      <x:c r="A100" s="60" t="n">
        <x:f>'Form Responses 1'!A100</x:f>
        <x:v>0</x:v>
      </x:c>
      <x:c r="B100" s="18" t="n">
        <x:f>'Form Responses 1'!B100</x:f>
        <x:v>0</x:v>
      </x:c>
      <x:c r="C100" s="18" t="n">
        <x:f>'Form Responses 1'!C100</x:f>
        <x:v>0</x:v>
      </x:c>
      <x:c r="D100" s="18" t="n">
        <x:f>'Form Responses 1'!D100</x:f>
        <x:v>0</x:v>
      </x:c>
      <x:c r="E100" s="18" t="n">
        <x:f>'Form Responses 1'!E100</x:f>
        <x:v>0</x:v>
      </x:c>
      <x:c r="F100" s="18" t="n">
        <x:f>'Form Responses 1'!F100</x:f>
        <x:v>0</x:v>
      </x:c>
      <x:c r="G100" s="18" t="n">
        <x:f>'Form Responses 1'!G100</x:f>
        <x:v>0</x:v>
      </x:c>
      <x:c r="H100" s="18" t="str">
        <x:f>IF($C100="","",IFERROR(VLOOKUP($C100,Matches!$A$2:$Q$200,5,FALSE),"Unknown"))</x:f>
      </x:c>
      <x:c r="I100" s="60" t="str">
        <x:f>IF($C100="","",IFERROR(VLOOKUP($C100,Matches!$A$2:$Q$200,16,FALSE),""))</x:f>
      </x:c>
      <x:c r="J100" s="18" t="str">
        <x:f>IF($C100="","",IFERROR(VLOOKUP($C100,Matches!$A$2:$Q$200,11,FALSE),""))</x:f>
      </x:c>
      <x:c r="K100" s="18" t="str">
        <x:f>IF($C100="","",IFERROR(VLOOKUP($C100,Matches!$A$2:$Q$200,12,FALSE),""))</x:f>
      </x:c>
      <x:c r="L100" s="18" t="str">
        <x:f>IF($A100="","",IF($C100=1,"Yes",IF(OR($I100="",$A100&lt;$I100),"Yes","Late")))</x:f>
      </x:c>
      <x:c r="M100" s="66" t="str">
        <x:f>IF($A100="","",IF($L100&lt;&gt;"Yes",0,IF($E100="",0,IF($J100="",0,IF($H100="Group",IF($E100=$J100,Setup!$H$2,Setup!$H$3),IF($E100=$K100,Setup!$H$2,Setup!$H$3))))))</x:f>
      </x:c>
      <x:c r="N100" s="66" t="str">
        <x:f>IF($A100="","",IF($L100&lt;&gt;"Yes",0,IF(OR($F100="",$G100=""),0,IF(AND($F100=VLOOKUP($C100,Matches!$A$2:$Q$200,9,FALSE),$G100=VLOOKUP($C100,Matches!$A$2:$Q$200,10,FALSE)),Setup!$H$5,0))))</x:f>
      </x:c>
      <x:c r="O100" s="66" t="str">
        <x:f>IF($A100="","",$M100+$N100)</x:f>
      </x:c>
      <x:c r="P100" s="18" t="str">
        <x:f>IF($A100="","",IF($L100="Late","Late - 0 points",IF($J100="","Waiting for result",IF($O100&gt;0,"Scored",IF($O100&lt;0,"Wrong pick","No points")))))</x:f>
      </x:c>
    </x:row>
    <x:row r="101">
      <x:c r="A101" s="60" t="n">
        <x:f>'Form Responses 1'!A101</x:f>
        <x:v>0</x:v>
      </x:c>
      <x:c r="B101" s="18" t="n">
        <x:f>'Form Responses 1'!B101</x:f>
        <x:v>0</x:v>
      </x:c>
      <x:c r="C101" s="18" t="n">
        <x:f>'Form Responses 1'!C101</x:f>
        <x:v>0</x:v>
      </x:c>
      <x:c r="D101" s="18" t="n">
        <x:f>'Form Responses 1'!D101</x:f>
        <x:v>0</x:v>
      </x:c>
      <x:c r="E101" s="18" t="n">
        <x:f>'Form Responses 1'!E101</x:f>
        <x:v>0</x:v>
      </x:c>
      <x:c r="F101" s="18" t="n">
        <x:f>'Form Responses 1'!F101</x:f>
        <x:v>0</x:v>
      </x:c>
      <x:c r="G101" s="18" t="n">
        <x:f>'Form Responses 1'!G101</x:f>
        <x:v>0</x:v>
      </x:c>
      <x:c r="H101" s="18" t="str">
        <x:f>IF($C101="","",IFERROR(VLOOKUP($C101,Matches!$A$2:$Q$200,5,FALSE),"Unknown"))</x:f>
      </x:c>
      <x:c r="I101" s="60" t="str">
        <x:f>IF($C101="","",IFERROR(VLOOKUP($C101,Matches!$A$2:$Q$200,16,FALSE),""))</x:f>
      </x:c>
      <x:c r="J101" s="18" t="str">
        <x:f>IF($C101="","",IFERROR(VLOOKUP($C101,Matches!$A$2:$Q$200,11,FALSE),""))</x:f>
      </x:c>
      <x:c r="K101" s="18" t="str">
        <x:f>IF($C101="","",IFERROR(VLOOKUP($C101,Matches!$A$2:$Q$200,12,FALSE),""))</x:f>
      </x:c>
      <x:c r="L101" s="18" t="str">
        <x:f>IF($A101="","",IF($C101=1,"Yes",IF(OR($I101="",$A101&lt;$I101),"Yes","Late")))</x:f>
      </x:c>
      <x:c r="M101" s="66" t="str">
        <x:f>IF($A101="","",IF($L101&lt;&gt;"Yes",0,IF($E101="",0,IF($J101="",0,IF($H101="Group",IF($E101=$J101,Setup!$H$2,Setup!$H$3),IF($E101=$K101,Setup!$H$2,Setup!$H$3))))))</x:f>
      </x:c>
      <x:c r="N101" s="66" t="str">
        <x:f>IF($A101="","",IF($L101&lt;&gt;"Yes",0,IF(OR($F101="",$G101=""),0,IF(AND($F101=VLOOKUP($C101,Matches!$A$2:$Q$200,9,FALSE),$G101=VLOOKUP($C101,Matches!$A$2:$Q$200,10,FALSE)),Setup!$H$5,0))))</x:f>
      </x:c>
      <x:c r="O101" s="66" t="str">
        <x:f>IF($A101="","",$M101+$N101)</x:f>
      </x:c>
      <x:c r="P101" s="18" t="str">
        <x:f>IF($A101="","",IF($L101="Late","Late - 0 points",IF($J101="","Waiting for result",IF($O101&gt;0,"Scored",IF($O101&lt;0,"Wrong pick","No points")))))</x:f>
      </x:c>
    </x:row>
    <x:row r="102">
      <x:c r="A102" s="60" t="n">
        <x:f>'Form Responses 1'!A102</x:f>
        <x:v>0</x:v>
      </x:c>
      <x:c r="B102" s="18" t="n">
        <x:f>'Form Responses 1'!B102</x:f>
        <x:v>0</x:v>
      </x:c>
      <x:c r="C102" s="18" t="n">
        <x:f>'Form Responses 1'!C102</x:f>
        <x:v>0</x:v>
      </x:c>
      <x:c r="D102" s="18" t="n">
        <x:f>'Form Responses 1'!D102</x:f>
        <x:v>0</x:v>
      </x:c>
      <x:c r="E102" s="18" t="n">
        <x:f>'Form Responses 1'!E102</x:f>
        <x:v>0</x:v>
      </x:c>
      <x:c r="F102" s="18" t="n">
        <x:f>'Form Responses 1'!F102</x:f>
        <x:v>0</x:v>
      </x:c>
      <x:c r="G102" s="18" t="n">
        <x:f>'Form Responses 1'!G102</x:f>
        <x:v>0</x:v>
      </x:c>
      <x:c r="H102" s="18" t="str">
        <x:f>IF($C102="","",IFERROR(VLOOKUP($C102,Matches!$A$2:$Q$200,5,FALSE),"Unknown"))</x:f>
      </x:c>
      <x:c r="I102" s="60" t="str">
        <x:f>IF($C102="","",IFERROR(VLOOKUP($C102,Matches!$A$2:$Q$200,16,FALSE),""))</x:f>
      </x:c>
      <x:c r="J102" s="18" t="str">
        <x:f>IF($C102="","",IFERROR(VLOOKUP($C102,Matches!$A$2:$Q$200,11,FALSE),""))</x:f>
      </x:c>
      <x:c r="K102" s="18" t="str">
        <x:f>IF($C102="","",IFERROR(VLOOKUP($C102,Matches!$A$2:$Q$200,12,FALSE),""))</x:f>
      </x:c>
      <x:c r="L102" s="18" t="str">
        <x:f>IF($A102="","",IF($C102=1,"Yes",IF(OR($I102="",$A102&lt;$I102),"Yes","Late")))</x:f>
      </x:c>
      <x:c r="M102" s="66" t="str">
        <x:f>IF($A102="","",IF($L102&lt;&gt;"Yes",0,IF($E102="",0,IF($J102="",0,IF($H102="Group",IF($E102=$J102,Setup!$H$2,Setup!$H$3),IF($E102=$K102,Setup!$H$2,Setup!$H$3))))))</x:f>
      </x:c>
      <x:c r="N102" s="66" t="str">
        <x:f>IF($A102="","",IF($L102&lt;&gt;"Yes",0,IF(OR($F102="",$G102=""),0,IF(AND($F102=VLOOKUP($C102,Matches!$A$2:$Q$200,9,FALSE),$G102=VLOOKUP($C102,Matches!$A$2:$Q$200,10,FALSE)),Setup!$H$5,0))))</x:f>
      </x:c>
      <x:c r="O102" s="66" t="str">
        <x:f>IF($A102="","",$M102+$N102)</x:f>
      </x:c>
      <x:c r="P102" s="18" t="str">
        <x:f>IF($A102="","",IF($L102="Late","Late - 0 points",IF($J102="","Waiting for result",IF($O102&gt;0,"Scored",IF($O102&lt;0,"Wrong pick","No points")))))</x:f>
      </x:c>
    </x:row>
    <x:row r="103">
      <x:c r="A103" s="60" t="n">
        <x:f>'Form Responses 1'!A103</x:f>
        <x:v>0</x:v>
      </x:c>
      <x:c r="B103" s="18" t="n">
        <x:f>'Form Responses 1'!B103</x:f>
        <x:v>0</x:v>
      </x:c>
      <x:c r="C103" s="18" t="n">
        <x:f>'Form Responses 1'!C103</x:f>
        <x:v>0</x:v>
      </x:c>
      <x:c r="D103" s="18" t="n">
        <x:f>'Form Responses 1'!D103</x:f>
        <x:v>0</x:v>
      </x:c>
      <x:c r="E103" s="18" t="n">
        <x:f>'Form Responses 1'!E103</x:f>
        <x:v>0</x:v>
      </x:c>
      <x:c r="F103" s="18" t="n">
        <x:f>'Form Responses 1'!F103</x:f>
        <x:v>0</x:v>
      </x:c>
      <x:c r="G103" s="18" t="n">
        <x:f>'Form Responses 1'!G103</x:f>
        <x:v>0</x:v>
      </x:c>
      <x:c r="H103" s="18" t="str">
        <x:f>IF($C103="","",IFERROR(VLOOKUP($C103,Matches!$A$2:$Q$200,5,FALSE),"Unknown"))</x:f>
      </x:c>
      <x:c r="I103" s="60" t="str">
        <x:f>IF($C103="","",IFERROR(VLOOKUP($C103,Matches!$A$2:$Q$200,16,FALSE),""))</x:f>
      </x:c>
      <x:c r="J103" s="18" t="str">
        <x:f>IF($C103="","",IFERROR(VLOOKUP($C103,Matches!$A$2:$Q$200,11,FALSE),""))</x:f>
      </x:c>
      <x:c r="K103" s="18" t="str">
        <x:f>IF($C103="","",IFERROR(VLOOKUP($C103,Matches!$A$2:$Q$200,12,FALSE),""))</x:f>
      </x:c>
      <x:c r="L103" s="18" t="str">
        <x:f>IF($A103="","",IF($C103=1,"Yes",IF(OR($I103="",$A103&lt;$I103),"Yes","Late")))</x:f>
      </x:c>
      <x:c r="M103" s="66" t="str">
        <x:f>IF($A103="","",IF($L103&lt;&gt;"Yes",0,IF($E103="",0,IF($J103="",0,IF($H103="Group",IF($E103=$J103,Setup!$H$2,Setup!$H$3),IF($E103=$K103,Setup!$H$2,Setup!$H$3))))))</x:f>
      </x:c>
      <x:c r="N103" s="66" t="str">
        <x:f>IF($A103="","",IF($L103&lt;&gt;"Yes",0,IF(OR($F103="",$G103=""),0,IF(AND($F103=VLOOKUP($C103,Matches!$A$2:$Q$200,9,FALSE),$G103=VLOOKUP($C103,Matches!$A$2:$Q$200,10,FALSE)),Setup!$H$5,0))))</x:f>
      </x:c>
      <x:c r="O103" s="66" t="str">
        <x:f>IF($A103="","",$M103+$N103)</x:f>
      </x:c>
      <x:c r="P103" s="18" t="str">
        <x:f>IF($A103="","",IF($L103="Late","Late - 0 points",IF($J103="","Waiting for result",IF($O103&gt;0,"Scored",IF($O103&lt;0,"Wrong pick","No points")))))</x:f>
      </x:c>
    </x:row>
    <x:row r="104">
      <x:c r="A104" s="60" t="n">
        <x:f>'Form Responses 1'!A104</x:f>
        <x:v>0</x:v>
      </x:c>
      <x:c r="B104" s="18" t="n">
        <x:f>'Form Responses 1'!B104</x:f>
        <x:v>0</x:v>
      </x:c>
      <x:c r="C104" s="18" t="n">
        <x:f>'Form Responses 1'!C104</x:f>
        <x:v>0</x:v>
      </x:c>
      <x:c r="D104" s="18" t="n">
        <x:f>'Form Responses 1'!D104</x:f>
        <x:v>0</x:v>
      </x:c>
      <x:c r="E104" s="18" t="n">
        <x:f>'Form Responses 1'!E104</x:f>
        <x:v>0</x:v>
      </x:c>
      <x:c r="F104" s="18" t="n">
        <x:f>'Form Responses 1'!F104</x:f>
        <x:v>0</x:v>
      </x:c>
      <x:c r="G104" s="18" t="n">
        <x:f>'Form Responses 1'!G104</x:f>
        <x:v>0</x:v>
      </x:c>
      <x:c r="H104" s="18" t="str">
        <x:f>IF($C104="","",IFERROR(VLOOKUP($C104,Matches!$A$2:$Q$200,5,FALSE),"Unknown"))</x:f>
      </x:c>
      <x:c r="I104" s="60" t="str">
        <x:f>IF($C104="","",IFERROR(VLOOKUP($C104,Matches!$A$2:$Q$200,16,FALSE),""))</x:f>
      </x:c>
      <x:c r="J104" s="18" t="str">
        <x:f>IF($C104="","",IFERROR(VLOOKUP($C104,Matches!$A$2:$Q$200,11,FALSE),""))</x:f>
      </x:c>
      <x:c r="K104" s="18" t="str">
        <x:f>IF($C104="","",IFERROR(VLOOKUP($C104,Matches!$A$2:$Q$200,12,FALSE),""))</x:f>
      </x:c>
      <x:c r="L104" s="18" t="str">
        <x:f>IF($A104="","",IF($C104=1,"Yes",IF(OR($I104="",$A104&lt;$I104),"Yes","Late")))</x:f>
      </x:c>
      <x:c r="M104" s="66" t="str">
        <x:f>IF($A104="","",IF($L104&lt;&gt;"Yes",0,IF($E104="",0,IF($J104="",0,IF($H104="Group",IF($E104=$J104,Setup!$H$2,Setup!$H$3),IF($E104=$K104,Setup!$H$2,Setup!$H$3))))))</x:f>
      </x:c>
      <x:c r="N104" s="66" t="str">
        <x:f>IF($A104="","",IF($L104&lt;&gt;"Yes",0,IF(OR($F104="",$G104=""),0,IF(AND($F104=VLOOKUP($C104,Matches!$A$2:$Q$200,9,FALSE),$G104=VLOOKUP($C104,Matches!$A$2:$Q$200,10,FALSE)),Setup!$H$5,0))))</x:f>
      </x:c>
      <x:c r="O104" s="66" t="str">
        <x:f>IF($A104="","",$M104+$N104)</x:f>
      </x:c>
      <x:c r="P104" s="18" t="str">
        <x:f>IF($A104="","",IF($L104="Late","Late - 0 points",IF($J104="","Waiting for result",IF($O104&gt;0,"Scored",IF($O104&lt;0,"Wrong pick","No points")))))</x:f>
      </x:c>
    </x:row>
    <x:row r="105">
      <x:c r="A105" s="60" t="n">
        <x:f>'Form Responses 1'!A105</x:f>
        <x:v>0</x:v>
      </x:c>
      <x:c r="B105" s="18" t="n">
        <x:f>'Form Responses 1'!B105</x:f>
        <x:v>0</x:v>
      </x:c>
      <x:c r="C105" s="18" t="n">
        <x:f>'Form Responses 1'!C105</x:f>
        <x:v>0</x:v>
      </x:c>
      <x:c r="D105" s="18" t="n">
        <x:f>'Form Responses 1'!D105</x:f>
        <x:v>0</x:v>
      </x:c>
      <x:c r="E105" s="18" t="n">
        <x:f>'Form Responses 1'!E105</x:f>
        <x:v>0</x:v>
      </x:c>
      <x:c r="F105" s="18" t="n">
        <x:f>'Form Responses 1'!F105</x:f>
        <x:v>0</x:v>
      </x:c>
      <x:c r="G105" s="18" t="n">
        <x:f>'Form Responses 1'!G105</x:f>
        <x:v>0</x:v>
      </x:c>
      <x:c r="H105" s="18" t="str">
        <x:f>IF($C105="","",IFERROR(VLOOKUP($C105,Matches!$A$2:$Q$200,5,FALSE),"Unknown"))</x:f>
      </x:c>
      <x:c r="I105" s="60" t="str">
        <x:f>IF($C105="","",IFERROR(VLOOKUP($C105,Matches!$A$2:$Q$200,16,FALSE),""))</x:f>
      </x:c>
      <x:c r="J105" s="18" t="str">
        <x:f>IF($C105="","",IFERROR(VLOOKUP($C105,Matches!$A$2:$Q$200,11,FALSE),""))</x:f>
      </x:c>
      <x:c r="K105" s="18" t="str">
        <x:f>IF($C105="","",IFERROR(VLOOKUP($C105,Matches!$A$2:$Q$200,12,FALSE),""))</x:f>
      </x:c>
      <x:c r="L105" s="18" t="str">
        <x:f>IF($A105="","",IF($C105=1,"Yes",IF(OR($I105="",$A105&lt;$I105),"Yes","Late")))</x:f>
      </x:c>
      <x:c r="M105" s="66" t="str">
        <x:f>IF($A105="","",IF($L105&lt;&gt;"Yes",0,IF($E105="",0,IF($J105="",0,IF($H105="Group",IF($E105=$J105,Setup!$H$2,Setup!$H$3),IF($E105=$K105,Setup!$H$2,Setup!$H$3))))))</x:f>
      </x:c>
      <x:c r="N105" s="66" t="str">
        <x:f>IF($A105="","",IF($L105&lt;&gt;"Yes",0,IF(OR($F105="",$G105=""),0,IF(AND($F105=VLOOKUP($C105,Matches!$A$2:$Q$200,9,FALSE),$G105=VLOOKUP($C105,Matches!$A$2:$Q$200,10,FALSE)),Setup!$H$5,0))))</x:f>
      </x:c>
      <x:c r="O105" s="66" t="str">
        <x:f>IF($A105="","",$M105+$N105)</x:f>
      </x:c>
      <x:c r="P105" s="18" t="str">
        <x:f>IF($A105="","",IF($L105="Late","Late - 0 points",IF($J105="","Waiting for result",IF($O105&gt;0,"Scored",IF($O105&lt;0,"Wrong pick","No points")))))</x:f>
      </x:c>
    </x:row>
    <x:row r="106">
      <x:c r="A106" s="60" t="n">
        <x:f>'Form Responses 1'!A106</x:f>
        <x:v>0</x:v>
      </x:c>
      <x:c r="B106" s="18" t="n">
        <x:f>'Form Responses 1'!B106</x:f>
        <x:v>0</x:v>
      </x:c>
      <x:c r="C106" s="18" t="n">
        <x:f>'Form Responses 1'!C106</x:f>
        <x:v>0</x:v>
      </x:c>
      <x:c r="D106" s="18" t="n">
        <x:f>'Form Responses 1'!D106</x:f>
        <x:v>0</x:v>
      </x:c>
      <x:c r="E106" s="18" t="n">
        <x:f>'Form Responses 1'!E106</x:f>
        <x:v>0</x:v>
      </x:c>
      <x:c r="F106" s="18" t="n">
        <x:f>'Form Responses 1'!F106</x:f>
        <x:v>0</x:v>
      </x:c>
      <x:c r="G106" s="18" t="n">
        <x:f>'Form Responses 1'!G106</x:f>
        <x:v>0</x:v>
      </x:c>
      <x:c r="H106" s="18" t="str">
        <x:f>IF($C106="","",IFERROR(VLOOKUP($C106,Matches!$A$2:$Q$200,5,FALSE),"Unknown"))</x:f>
      </x:c>
      <x:c r="I106" s="60" t="str">
        <x:f>IF($C106="","",IFERROR(VLOOKUP($C106,Matches!$A$2:$Q$200,16,FALSE),""))</x:f>
      </x:c>
      <x:c r="J106" s="18" t="str">
        <x:f>IF($C106="","",IFERROR(VLOOKUP($C106,Matches!$A$2:$Q$200,11,FALSE),""))</x:f>
      </x:c>
      <x:c r="K106" s="18" t="str">
        <x:f>IF($C106="","",IFERROR(VLOOKUP($C106,Matches!$A$2:$Q$200,12,FALSE),""))</x:f>
      </x:c>
      <x:c r="L106" s="18" t="str">
        <x:f>IF($A106="","",IF($C106=1,"Yes",IF(OR($I106="",$A106&lt;$I106),"Yes","Late")))</x:f>
      </x:c>
      <x:c r="M106" s="66" t="str">
        <x:f>IF($A106="","",IF($L106&lt;&gt;"Yes",0,IF($E106="",0,IF($J106="",0,IF($H106="Group",IF($E106=$J106,Setup!$H$2,Setup!$H$3),IF($E106=$K106,Setup!$H$2,Setup!$H$3))))))</x:f>
      </x:c>
      <x:c r="N106" s="66" t="str">
        <x:f>IF($A106="","",IF($L106&lt;&gt;"Yes",0,IF(OR($F106="",$G106=""),0,IF(AND($F106=VLOOKUP($C106,Matches!$A$2:$Q$200,9,FALSE),$G106=VLOOKUP($C106,Matches!$A$2:$Q$200,10,FALSE)),Setup!$H$5,0))))</x:f>
      </x:c>
      <x:c r="O106" s="66" t="str">
        <x:f>IF($A106="","",$M106+$N106)</x:f>
      </x:c>
      <x:c r="P106" s="18" t="str">
        <x:f>IF($A106="","",IF($L106="Late","Late - 0 points",IF($J106="","Waiting for result",IF($O106&gt;0,"Scored",IF($O106&lt;0,"Wrong pick","No points")))))</x:f>
      </x:c>
    </x:row>
    <x:row r="107">
      <x:c r="A107" s="60" t="n">
        <x:f>'Form Responses 1'!A107</x:f>
        <x:v>0</x:v>
      </x:c>
      <x:c r="B107" s="18" t="n">
        <x:f>'Form Responses 1'!B107</x:f>
        <x:v>0</x:v>
      </x:c>
      <x:c r="C107" s="18" t="n">
        <x:f>'Form Responses 1'!C107</x:f>
        <x:v>0</x:v>
      </x:c>
      <x:c r="D107" s="18" t="n">
        <x:f>'Form Responses 1'!D107</x:f>
        <x:v>0</x:v>
      </x:c>
      <x:c r="E107" s="18" t="n">
        <x:f>'Form Responses 1'!E107</x:f>
        <x:v>0</x:v>
      </x:c>
      <x:c r="F107" s="18" t="n">
        <x:f>'Form Responses 1'!F107</x:f>
        <x:v>0</x:v>
      </x:c>
      <x:c r="G107" s="18" t="n">
        <x:f>'Form Responses 1'!G107</x:f>
        <x:v>0</x:v>
      </x:c>
      <x:c r="H107" s="18" t="str">
        <x:f>IF($C107="","",IFERROR(VLOOKUP($C107,Matches!$A$2:$Q$200,5,FALSE),"Unknown"))</x:f>
      </x:c>
      <x:c r="I107" s="60" t="str">
        <x:f>IF($C107="","",IFERROR(VLOOKUP($C107,Matches!$A$2:$Q$200,16,FALSE),""))</x:f>
      </x:c>
      <x:c r="J107" s="18" t="str">
        <x:f>IF($C107="","",IFERROR(VLOOKUP($C107,Matches!$A$2:$Q$200,11,FALSE),""))</x:f>
      </x:c>
      <x:c r="K107" s="18" t="str">
        <x:f>IF($C107="","",IFERROR(VLOOKUP($C107,Matches!$A$2:$Q$200,12,FALSE),""))</x:f>
      </x:c>
      <x:c r="L107" s="18" t="str">
        <x:f>IF($A107="","",IF($C107=1,"Yes",IF(OR($I107="",$A107&lt;$I107),"Yes","Late")))</x:f>
      </x:c>
      <x:c r="M107" s="66" t="str">
        <x:f>IF($A107="","",IF($L107&lt;&gt;"Yes",0,IF($E107="",0,IF($J107="",0,IF($H107="Group",IF($E107=$J107,Setup!$H$2,Setup!$H$3),IF($E107=$K107,Setup!$H$2,Setup!$H$3))))))</x:f>
      </x:c>
      <x:c r="N107" s="66" t="str">
        <x:f>IF($A107="","",IF($L107&lt;&gt;"Yes",0,IF(OR($F107="",$G107=""),0,IF(AND($F107=VLOOKUP($C107,Matches!$A$2:$Q$200,9,FALSE),$G107=VLOOKUP($C107,Matches!$A$2:$Q$200,10,FALSE)),Setup!$H$5,0))))</x:f>
      </x:c>
      <x:c r="O107" s="66" t="str">
        <x:f>IF($A107="","",$M107+$N107)</x:f>
      </x:c>
      <x:c r="P107" s="18" t="str">
        <x:f>IF($A107="","",IF($L107="Late","Late - 0 points",IF($J107="","Waiting for result",IF($O107&gt;0,"Scored",IF($O107&lt;0,"Wrong pick","No points")))))</x:f>
      </x:c>
    </x:row>
    <x:row r="108">
      <x:c r="A108" s="60" t="n">
        <x:f>'Form Responses 1'!A108</x:f>
        <x:v>0</x:v>
      </x:c>
      <x:c r="B108" s="18" t="n">
        <x:f>'Form Responses 1'!B108</x:f>
        <x:v>0</x:v>
      </x:c>
      <x:c r="C108" s="18" t="n">
        <x:f>'Form Responses 1'!C108</x:f>
        <x:v>0</x:v>
      </x:c>
      <x:c r="D108" s="18" t="n">
        <x:f>'Form Responses 1'!D108</x:f>
        <x:v>0</x:v>
      </x:c>
      <x:c r="E108" s="18" t="n">
        <x:f>'Form Responses 1'!E108</x:f>
        <x:v>0</x:v>
      </x:c>
      <x:c r="F108" s="18" t="n">
        <x:f>'Form Responses 1'!F108</x:f>
        <x:v>0</x:v>
      </x:c>
      <x:c r="G108" s="18" t="n">
        <x:f>'Form Responses 1'!G108</x:f>
        <x:v>0</x:v>
      </x:c>
      <x:c r="H108" s="18" t="str">
        <x:f>IF($C108="","",IFERROR(VLOOKUP($C108,Matches!$A$2:$Q$200,5,FALSE),"Unknown"))</x:f>
      </x:c>
      <x:c r="I108" s="60" t="str">
        <x:f>IF($C108="","",IFERROR(VLOOKUP($C108,Matches!$A$2:$Q$200,16,FALSE),""))</x:f>
      </x:c>
      <x:c r="J108" s="18" t="str">
        <x:f>IF($C108="","",IFERROR(VLOOKUP($C108,Matches!$A$2:$Q$200,11,FALSE),""))</x:f>
      </x:c>
      <x:c r="K108" s="18" t="str">
        <x:f>IF($C108="","",IFERROR(VLOOKUP($C108,Matches!$A$2:$Q$200,12,FALSE),""))</x:f>
      </x:c>
      <x:c r="L108" s="18" t="str">
        <x:f>IF($A108="","",IF($C108=1,"Yes",IF(OR($I108="",$A108&lt;$I108),"Yes","Late")))</x:f>
      </x:c>
      <x:c r="M108" s="66" t="str">
        <x:f>IF($A108="","",IF($L108&lt;&gt;"Yes",0,IF($E108="",0,IF($J108="",0,IF($H108="Group",IF($E108=$J108,Setup!$H$2,Setup!$H$3),IF($E108=$K108,Setup!$H$2,Setup!$H$3))))))</x:f>
      </x:c>
      <x:c r="N108" s="66" t="str">
        <x:f>IF($A108="","",IF($L108&lt;&gt;"Yes",0,IF(OR($F108="",$G108=""),0,IF(AND($F108=VLOOKUP($C108,Matches!$A$2:$Q$200,9,FALSE),$G108=VLOOKUP($C108,Matches!$A$2:$Q$200,10,FALSE)),Setup!$H$5,0))))</x:f>
      </x:c>
      <x:c r="O108" s="66" t="str">
        <x:f>IF($A108="","",$M108+$N108)</x:f>
      </x:c>
      <x:c r="P108" s="18" t="str">
        <x:f>IF($A108="","",IF($L108="Late","Late - 0 points",IF($J108="","Waiting for result",IF($O108&gt;0,"Scored",IF($O108&lt;0,"Wrong pick","No points")))))</x:f>
      </x:c>
    </x:row>
    <x:row r="109">
      <x:c r="A109" s="60" t="n">
        <x:f>'Form Responses 1'!A109</x:f>
        <x:v>0</x:v>
      </x:c>
      <x:c r="B109" s="18" t="n">
        <x:f>'Form Responses 1'!B109</x:f>
        <x:v>0</x:v>
      </x:c>
      <x:c r="C109" s="18" t="n">
        <x:f>'Form Responses 1'!C109</x:f>
        <x:v>0</x:v>
      </x:c>
      <x:c r="D109" s="18" t="n">
        <x:f>'Form Responses 1'!D109</x:f>
        <x:v>0</x:v>
      </x:c>
      <x:c r="E109" s="18" t="n">
        <x:f>'Form Responses 1'!E109</x:f>
        <x:v>0</x:v>
      </x:c>
      <x:c r="F109" s="18" t="n">
        <x:f>'Form Responses 1'!F109</x:f>
        <x:v>0</x:v>
      </x:c>
      <x:c r="G109" s="18" t="n">
        <x:f>'Form Responses 1'!G109</x:f>
        <x:v>0</x:v>
      </x:c>
      <x:c r="H109" s="18" t="str">
        <x:f>IF($C109="","",IFERROR(VLOOKUP($C109,Matches!$A$2:$Q$200,5,FALSE),"Unknown"))</x:f>
      </x:c>
      <x:c r="I109" s="60" t="str">
        <x:f>IF($C109="","",IFERROR(VLOOKUP($C109,Matches!$A$2:$Q$200,16,FALSE),""))</x:f>
      </x:c>
      <x:c r="J109" s="18" t="str">
        <x:f>IF($C109="","",IFERROR(VLOOKUP($C109,Matches!$A$2:$Q$200,11,FALSE),""))</x:f>
      </x:c>
      <x:c r="K109" s="18" t="str">
        <x:f>IF($C109="","",IFERROR(VLOOKUP($C109,Matches!$A$2:$Q$200,12,FALSE),""))</x:f>
      </x:c>
      <x:c r="L109" s="18" t="str">
        <x:f>IF($A109="","",IF($C109=1,"Yes",IF(OR($I109="",$A109&lt;$I109),"Yes","Late")))</x:f>
      </x:c>
      <x:c r="M109" s="66" t="str">
        <x:f>IF($A109="","",IF($L109&lt;&gt;"Yes",0,IF($E109="",0,IF($J109="",0,IF($H109="Group",IF($E109=$J109,Setup!$H$2,Setup!$H$3),IF($E109=$K109,Setup!$H$2,Setup!$H$3))))))</x:f>
      </x:c>
      <x:c r="N109" s="66" t="str">
        <x:f>IF($A109="","",IF($L109&lt;&gt;"Yes",0,IF(OR($F109="",$G109=""),0,IF(AND($F109=VLOOKUP($C109,Matches!$A$2:$Q$200,9,FALSE),$G109=VLOOKUP($C109,Matches!$A$2:$Q$200,10,FALSE)),Setup!$H$5,0))))</x:f>
      </x:c>
      <x:c r="O109" s="66" t="str">
        <x:f>IF($A109="","",$M109+$N109)</x:f>
      </x:c>
      <x:c r="P109" s="18" t="str">
        <x:f>IF($A109="","",IF($L109="Late","Late - 0 points",IF($J109="","Waiting for result",IF($O109&gt;0,"Scored",IF($O109&lt;0,"Wrong pick","No points")))))</x:f>
      </x:c>
    </x:row>
    <x:row r="110">
      <x:c r="A110" s="60" t="n">
        <x:f>'Form Responses 1'!A110</x:f>
        <x:v>0</x:v>
      </x:c>
      <x:c r="B110" s="18" t="n">
        <x:f>'Form Responses 1'!B110</x:f>
        <x:v>0</x:v>
      </x:c>
      <x:c r="C110" s="18" t="n">
        <x:f>'Form Responses 1'!C110</x:f>
        <x:v>0</x:v>
      </x:c>
      <x:c r="D110" s="18" t="n">
        <x:f>'Form Responses 1'!D110</x:f>
        <x:v>0</x:v>
      </x:c>
      <x:c r="E110" s="18" t="n">
        <x:f>'Form Responses 1'!E110</x:f>
        <x:v>0</x:v>
      </x:c>
      <x:c r="F110" s="18" t="n">
        <x:f>'Form Responses 1'!F110</x:f>
        <x:v>0</x:v>
      </x:c>
      <x:c r="G110" s="18" t="n">
        <x:f>'Form Responses 1'!G110</x:f>
        <x:v>0</x:v>
      </x:c>
      <x:c r="H110" s="18" t="str">
        <x:f>IF($C110="","",IFERROR(VLOOKUP($C110,Matches!$A$2:$Q$200,5,FALSE),"Unknown"))</x:f>
      </x:c>
      <x:c r="I110" s="60" t="str">
        <x:f>IF($C110="","",IFERROR(VLOOKUP($C110,Matches!$A$2:$Q$200,16,FALSE),""))</x:f>
      </x:c>
      <x:c r="J110" s="18" t="str">
        <x:f>IF($C110="","",IFERROR(VLOOKUP($C110,Matches!$A$2:$Q$200,11,FALSE),""))</x:f>
      </x:c>
      <x:c r="K110" s="18" t="str">
        <x:f>IF($C110="","",IFERROR(VLOOKUP($C110,Matches!$A$2:$Q$200,12,FALSE),""))</x:f>
      </x:c>
      <x:c r="L110" s="18" t="str">
        <x:f>IF($A110="","",IF($C110=1,"Yes",IF(OR($I110="",$A110&lt;$I110),"Yes","Late")))</x:f>
      </x:c>
      <x:c r="M110" s="66" t="str">
        <x:f>IF($A110="","",IF($L110&lt;&gt;"Yes",0,IF($E110="",0,IF($J110="",0,IF($H110="Group",IF($E110=$J110,Setup!$H$2,Setup!$H$3),IF($E110=$K110,Setup!$H$2,Setup!$H$3))))))</x:f>
      </x:c>
      <x:c r="N110" s="66" t="str">
        <x:f>IF($A110="","",IF($L110&lt;&gt;"Yes",0,IF(OR($F110="",$G110=""),0,IF(AND($F110=VLOOKUP($C110,Matches!$A$2:$Q$200,9,FALSE),$G110=VLOOKUP($C110,Matches!$A$2:$Q$200,10,FALSE)),Setup!$H$5,0))))</x:f>
      </x:c>
      <x:c r="O110" s="66" t="str">
        <x:f>IF($A110="","",$M110+$N110)</x:f>
      </x:c>
      <x:c r="P110" s="18" t="str">
        <x:f>IF($A110="","",IF($L110="Late","Late - 0 points",IF($J110="","Waiting for result",IF($O110&gt;0,"Scored",IF($O110&lt;0,"Wrong pick","No points")))))</x:f>
      </x:c>
    </x:row>
    <x:row r="111">
      <x:c r="A111" s="60" t="n">
        <x:f>'Form Responses 1'!A111</x:f>
        <x:v>0</x:v>
      </x:c>
      <x:c r="B111" s="18" t="n">
        <x:f>'Form Responses 1'!B111</x:f>
        <x:v>0</x:v>
      </x:c>
      <x:c r="C111" s="18" t="n">
        <x:f>'Form Responses 1'!C111</x:f>
        <x:v>0</x:v>
      </x:c>
      <x:c r="D111" s="18" t="n">
        <x:f>'Form Responses 1'!D111</x:f>
        <x:v>0</x:v>
      </x:c>
      <x:c r="E111" s="18" t="n">
        <x:f>'Form Responses 1'!E111</x:f>
        <x:v>0</x:v>
      </x:c>
      <x:c r="F111" s="18" t="n">
        <x:f>'Form Responses 1'!F111</x:f>
        <x:v>0</x:v>
      </x:c>
      <x:c r="G111" s="18" t="n">
        <x:f>'Form Responses 1'!G111</x:f>
        <x:v>0</x:v>
      </x:c>
      <x:c r="H111" s="18" t="str">
        <x:f>IF($C111="","",IFERROR(VLOOKUP($C111,Matches!$A$2:$Q$200,5,FALSE),"Unknown"))</x:f>
      </x:c>
      <x:c r="I111" s="60" t="str">
        <x:f>IF($C111="","",IFERROR(VLOOKUP($C111,Matches!$A$2:$Q$200,16,FALSE),""))</x:f>
      </x:c>
      <x:c r="J111" s="18" t="str">
        <x:f>IF($C111="","",IFERROR(VLOOKUP($C111,Matches!$A$2:$Q$200,11,FALSE),""))</x:f>
      </x:c>
      <x:c r="K111" s="18" t="str">
        <x:f>IF($C111="","",IFERROR(VLOOKUP($C111,Matches!$A$2:$Q$200,12,FALSE),""))</x:f>
      </x:c>
      <x:c r="L111" s="18" t="str">
        <x:f>IF($A111="","",IF($C111=1,"Yes",IF(OR($I111="",$A111&lt;$I111),"Yes","Late")))</x:f>
      </x:c>
      <x:c r="M111" s="66" t="str">
        <x:f>IF($A111="","",IF($L111&lt;&gt;"Yes",0,IF($E111="",0,IF($J111="",0,IF($H111="Group",IF($E111=$J111,Setup!$H$2,Setup!$H$3),IF($E111=$K111,Setup!$H$2,Setup!$H$3))))))</x:f>
      </x:c>
      <x:c r="N111" s="66" t="str">
        <x:f>IF($A111="","",IF($L111&lt;&gt;"Yes",0,IF(OR($F111="",$G111=""),0,IF(AND($F111=VLOOKUP($C111,Matches!$A$2:$Q$200,9,FALSE),$G111=VLOOKUP($C111,Matches!$A$2:$Q$200,10,FALSE)),Setup!$H$5,0))))</x:f>
      </x:c>
      <x:c r="O111" s="66" t="str">
        <x:f>IF($A111="","",$M111+$N111)</x:f>
      </x:c>
      <x:c r="P111" s="18" t="str">
        <x:f>IF($A111="","",IF($L111="Late","Late - 0 points",IF($J111="","Waiting for result",IF($O111&gt;0,"Scored",IF($O111&lt;0,"Wrong pick","No points")))))</x:f>
      </x:c>
    </x:row>
    <x:row r="112">
      <x:c r="A112" s="60" t="n">
        <x:f>'Form Responses 1'!A112</x:f>
        <x:v>0</x:v>
      </x:c>
      <x:c r="B112" s="18" t="n">
        <x:f>'Form Responses 1'!B112</x:f>
        <x:v>0</x:v>
      </x:c>
      <x:c r="C112" s="18" t="n">
        <x:f>'Form Responses 1'!C112</x:f>
        <x:v>0</x:v>
      </x:c>
      <x:c r="D112" s="18" t="n">
        <x:f>'Form Responses 1'!D112</x:f>
        <x:v>0</x:v>
      </x:c>
      <x:c r="E112" s="18" t="n">
        <x:f>'Form Responses 1'!E112</x:f>
        <x:v>0</x:v>
      </x:c>
      <x:c r="F112" s="18" t="n">
        <x:f>'Form Responses 1'!F112</x:f>
        <x:v>0</x:v>
      </x:c>
      <x:c r="G112" s="18" t="n">
        <x:f>'Form Responses 1'!G112</x:f>
        <x:v>0</x:v>
      </x:c>
      <x:c r="H112" s="18" t="str">
        <x:f>IF($C112="","",IFERROR(VLOOKUP($C112,Matches!$A$2:$Q$200,5,FALSE),"Unknown"))</x:f>
      </x:c>
      <x:c r="I112" s="60" t="str">
        <x:f>IF($C112="","",IFERROR(VLOOKUP($C112,Matches!$A$2:$Q$200,16,FALSE),""))</x:f>
      </x:c>
      <x:c r="J112" s="18" t="str">
        <x:f>IF($C112="","",IFERROR(VLOOKUP($C112,Matches!$A$2:$Q$200,11,FALSE),""))</x:f>
      </x:c>
      <x:c r="K112" s="18" t="str">
        <x:f>IF($C112="","",IFERROR(VLOOKUP($C112,Matches!$A$2:$Q$200,12,FALSE),""))</x:f>
      </x:c>
      <x:c r="L112" s="18" t="str">
        <x:f>IF($A112="","",IF($C112=1,"Yes",IF(OR($I112="",$A112&lt;$I112),"Yes","Late")))</x:f>
      </x:c>
      <x:c r="M112" s="66" t="str">
        <x:f>IF($A112="","",IF($L112&lt;&gt;"Yes",0,IF($E112="",0,IF($J112="",0,IF($H112="Group",IF($E112=$J112,Setup!$H$2,Setup!$H$3),IF($E112=$K112,Setup!$H$2,Setup!$H$3))))))</x:f>
      </x:c>
      <x:c r="N112" s="66" t="str">
        <x:f>IF($A112="","",IF($L112&lt;&gt;"Yes",0,IF(OR($F112="",$G112=""),0,IF(AND($F112=VLOOKUP($C112,Matches!$A$2:$Q$200,9,FALSE),$G112=VLOOKUP($C112,Matches!$A$2:$Q$200,10,FALSE)),Setup!$H$5,0))))</x:f>
      </x:c>
      <x:c r="O112" s="66" t="str">
        <x:f>IF($A112="","",$M112+$N112)</x:f>
      </x:c>
      <x:c r="P112" s="18" t="str">
        <x:f>IF($A112="","",IF($L112="Late","Late - 0 points",IF($J112="","Waiting for result",IF($O112&gt;0,"Scored",IF($O112&lt;0,"Wrong pick","No points")))))</x:f>
      </x:c>
    </x:row>
    <x:row r="113">
      <x:c r="A113" s="60" t="n">
        <x:f>'Form Responses 1'!A113</x:f>
        <x:v>0</x:v>
      </x:c>
      <x:c r="B113" s="18" t="n">
        <x:f>'Form Responses 1'!B113</x:f>
        <x:v>0</x:v>
      </x:c>
      <x:c r="C113" s="18" t="n">
        <x:f>'Form Responses 1'!C113</x:f>
        <x:v>0</x:v>
      </x:c>
      <x:c r="D113" s="18" t="n">
        <x:f>'Form Responses 1'!D113</x:f>
        <x:v>0</x:v>
      </x:c>
      <x:c r="E113" s="18" t="n">
        <x:f>'Form Responses 1'!E113</x:f>
        <x:v>0</x:v>
      </x:c>
      <x:c r="F113" s="18" t="n">
        <x:f>'Form Responses 1'!F113</x:f>
        <x:v>0</x:v>
      </x:c>
      <x:c r="G113" s="18" t="n">
        <x:f>'Form Responses 1'!G113</x:f>
        <x:v>0</x:v>
      </x:c>
      <x:c r="H113" s="18" t="str">
        <x:f>IF($C113="","",IFERROR(VLOOKUP($C113,Matches!$A$2:$Q$200,5,FALSE),"Unknown"))</x:f>
      </x:c>
      <x:c r="I113" s="60" t="str">
        <x:f>IF($C113="","",IFERROR(VLOOKUP($C113,Matches!$A$2:$Q$200,16,FALSE),""))</x:f>
      </x:c>
      <x:c r="J113" s="18" t="str">
        <x:f>IF($C113="","",IFERROR(VLOOKUP($C113,Matches!$A$2:$Q$200,11,FALSE),""))</x:f>
      </x:c>
      <x:c r="K113" s="18" t="str">
        <x:f>IF($C113="","",IFERROR(VLOOKUP($C113,Matches!$A$2:$Q$200,12,FALSE),""))</x:f>
      </x:c>
      <x:c r="L113" s="18" t="str">
        <x:f>IF($A113="","",IF($C113=1,"Yes",IF(OR($I113="",$A113&lt;$I113),"Yes","Late")))</x:f>
      </x:c>
      <x:c r="M113" s="66" t="str">
        <x:f>IF($A113="","",IF($L113&lt;&gt;"Yes",0,IF($E113="",0,IF($J113="",0,IF($H113="Group",IF($E113=$J113,Setup!$H$2,Setup!$H$3),IF($E113=$K113,Setup!$H$2,Setup!$H$3))))))</x:f>
      </x:c>
      <x:c r="N113" s="66" t="str">
        <x:f>IF($A113="","",IF($L113&lt;&gt;"Yes",0,IF(OR($F113="",$G113=""),0,IF(AND($F113=VLOOKUP($C113,Matches!$A$2:$Q$200,9,FALSE),$G113=VLOOKUP($C113,Matches!$A$2:$Q$200,10,FALSE)),Setup!$H$5,0))))</x:f>
      </x:c>
      <x:c r="O113" s="66" t="str">
        <x:f>IF($A113="","",$M113+$N113)</x:f>
      </x:c>
      <x:c r="P113" s="18" t="str">
        <x:f>IF($A113="","",IF($L113="Late","Late - 0 points",IF($J113="","Waiting for result",IF($O113&gt;0,"Scored",IF($O113&lt;0,"Wrong pick","No points")))))</x:f>
      </x:c>
    </x:row>
    <x:row r="114">
      <x:c r="A114" s="60" t="n">
        <x:f>'Form Responses 1'!A114</x:f>
        <x:v>0</x:v>
      </x:c>
      <x:c r="B114" s="18" t="n">
        <x:f>'Form Responses 1'!B114</x:f>
        <x:v>0</x:v>
      </x:c>
      <x:c r="C114" s="18" t="n">
        <x:f>'Form Responses 1'!C114</x:f>
        <x:v>0</x:v>
      </x:c>
      <x:c r="D114" s="18" t="n">
        <x:f>'Form Responses 1'!D114</x:f>
        <x:v>0</x:v>
      </x:c>
      <x:c r="E114" s="18" t="n">
        <x:f>'Form Responses 1'!E114</x:f>
        <x:v>0</x:v>
      </x:c>
      <x:c r="F114" s="18" t="n">
        <x:f>'Form Responses 1'!F114</x:f>
        <x:v>0</x:v>
      </x:c>
      <x:c r="G114" s="18" t="n">
        <x:f>'Form Responses 1'!G114</x:f>
        <x:v>0</x:v>
      </x:c>
      <x:c r="H114" s="18" t="str">
        <x:f>IF($C114="","",IFERROR(VLOOKUP($C114,Matches!$A$2:$Q$200,5,FALSE),"Unknown"))</x:f>
      </x:c>
      <x:c r="I114" s="60" t="str">
        <x:f>IF($C114="","",IFERROR(VLOOKUP($C114,Matches!$A$2:$Q$200,16,FALSE),""))</x:f>
      </x:c>
      <x:c r="J114" s="18" t="str">
        <x:f>IF($C114="","",IFERROR(VLOOKUP($C114,Matches!$A$2:$Q$200,11,FALSE),""))</x:f>
      </x:c>
      <x:c r="K114" s="18" t="str">
        <x:f>IF($C114="","",IFERROR(VLOOKUP($C114,Matches!$A$2:$Q$200,12,FALSE),""))</x:f>
      </x:c>
      <x:c r="L114" s="18" t="str">
        <x:f>IF($A114="","",IF($C114=1,"Yes",IF(OR($I114="",$A114&lt;$I114),"Yes","Late")))</x:f>
      </x:c>
      <x:c r="M114" s="66" t="str">
        <x:f>IF($A114="","",IF($L114&lt;&gt;"Yes",0,IF($E114="",0,IF($J114="",0,IF($H114="Group",IF($E114=$J114,Setup!$H$2,Setup!$H$3),IF($E114=$K114,Setup!$H$2,Setup!$H$3))))))</x:f>
      </x:c>
      <x:c r="N114" s="66" t="str">
        <x:f>IF($A114="","",IF($L114&lt;&gt;"Yes",0,IF(OR($F114="",$G114=""),0,IF(AND($F114=VLOOKUP($C114,Matches!$A$2:$Q$200,9,FALSE),$G114=VLOOKUP($C114,Matches!$A$2:$Q$200,10,FALSE)),Setup!$H$5,0))))</x:f>
      </x:c>
      <x:c r="O114" s="66" t="str">
        <x:f>IF($A114="","",$M114+$N114)</x:f>
      </x:c>
      <x:c r="P114" s="18" t="str">
        <x:f>IF($A114="","",IF($L114="Late","Late - 0 points",IF($J114="","Waiting for result",IF($O114&gt;0,"Scored",IF($O114&lt;0,"Wrong pick","No points")))))</x:f>
      </x:c>
    </x:row>
    <x:row r="115">
      <x:c r="A115" s="60" t="n">
        <x:f>'Form Responses 1'!A115</x:f>
        <x:v>0</x:v>
      </x:c>
      <x:c r="B115" s="18" t="n">
        <x:f>'Form Responses 1'!B115</x:f>
        <x:v>0</x:v>
      </x:c>
      <x:c r="C115" s="18" t="n">
        <x:f>'Form Responses 1'!C115</x:f>
        <x:v>0</x:v>
      </x:c>
      <x:c r="D115" s="18" t="n">
        <x:f>'Form Responses 1'!D115</x:f>
        <x:v>0</x:v>
      </x:c>
      <x:c r="E115" s="18" t="n">
        <x:f>'Form Responses 1'!E115</x:f>
        <x:v>0</x:v>
      </x:c>
      <x:c r="F115" s="18" t="n">
        <x:f>'Form Responses 1'!F115</x:f>
        <x:v>0</x:v>
      </x:c>
      <x:c r="G115" s="18" t="n">
        <x:f>'Form Responses 1'!G115</x:f>
        <x:v>0</x:v>
      </x:c>
      <x:c r="H115" s="18" t="str">
        <x:f>IF($C115="","",IFERROR(VLOOKUP($C115,Matches!$A$2:$Q$200,5,FALSE),"Unknown"))</x:f>
      </x:c>
      <x:c r="I115" s="60" t="str">
        <x:f>IF($C115="","",IFERROR(VLOOKUP($C115,Matches!$A$2:$Q$200,16,FALSE),""))</x:f>
      </x:c>
      <x:c r="J115" s="18" t="str">
        <x:f>IF($C115="","",IFERROR(VLOOKUP($C115,Matches!$A$2:$Q$200,11,FALSE),""))</x:f>
      </x:c>
      <x:c r="K115" s="18" t="str">
        <x:f>IF($C115="","",IFERROR(VLOOKUP($C115,Matches!$A$2:$Q$200,12,FALSE),""))</x:f>
      </x:c>
      <x:c r="L115" s="18" t="str">
        <x:f>IF($A115="","",IF($C115=1,"Yes",IF(OR($I115="",$A115&lt;$I115),"Yes","Late")))</x:f>
      </x:c>
      <x:c r="M115" s="66" t="str">
        <x:f>IF($A115="","",IF($L115&lt;&gt;"Yes",0,IF($E115="",0,IF($J115="",0,IF($H115="Group",IF($E115=$J115,Setup!$H$2,Setup!$H$3),IF($E115=$K115,Setup!$H$2,Setup!$H$3))))))</x:f>
      </x:c>
      <x:c r="N115" s="66" t="str">
        <x:f>IF($A115="","",IF($L115&lt;&gt;"Yes",0,IF(OR($F115="",$G115=""),0,IF(AND($F115=VLOOKUP($C115,Matches!$A$2:$Q$200,9,FALSE),$G115=VLOOKUP($C115,Matches!$A$2:$Q$200,10,FALSE)),Setup!$H$5,0))))</x:f>
      </x:c>
      <x:c r="O115" s="66" t="str">
        <x:f>IF($A115="","",$M115+$N115)</x:f>
      </x:c>
      <x:c r="P115" s="18" t="str">
        <x:f>IF($A115="","",IF($L115="Late","Late - 0 points",IF($J115="","Waiting for result",IF($O115&gt;0,"Scored",IF($O115&lt;0,"Wrong pick","No points")))))</x:f>
      </x:c>
    </x:row>
    <x:row r="116">
      <x:c r="A116" s="60" t="n">
        <x:f>'Form Responses 1'!A116</x:f>
        <x:v>0</x:v>
      </x:c>
      <x:c r="B116" s="18" t="n">
        <x:f>'Form Responses 1'!B116</x:f>
        <x:v>0</x:v>
      </x:c>
      <x:c r="C116" s="18" t="n">
        <x:f>'Form Responses 1'!C116</x:f>
        <x:v>0</x:v>
      </x:c>
      <x:c r="D116" s="18" t="n">
        <x:f>'Form Responses 1'!D116</x:f>
        <x:v>0</x:v>
      </x:c>
      <x:c r="E116" s="18" t="n">
        <x:f>'Form Responses 1'!E116</x:f>
        <x:v>0</x:v>
      </x:c>
      <x:c r="F116" s="18" t="n">
        <x:f>'Form Responses 1'!F116</x:f>
        <x:v>0</x:v>
      </x:c>
      <x:c r="G116" s="18" t="n">
        <x:f>'Form Responses 1'!G116</x:f>
        <x:v>0</x:v>
      </x:c>
      <x:c r="H116" s="18" t="str">
        <x:f>IF($C116="","",IFERROR(VLOOKUP($C116,Matches!$A$2:$Q$200,5,FALSE),"Unknown"))</x:f>
      </x:c>
      <x:c r="I116" s="60" t="str">
        <x:f>IF($C116="","",IFERROR(VLOOKUP($C116,Matches!$A$2:$Q$200,16,FALSE),""))</x:f>
      </x:c>
      <x:c r="J116" s="18" t="str">
        <x:f>IF($C116="","",IFERROR(VLOOKUP($C116,Matches!$A$2:$Q$200,11,FALSE),""))</x:f>
      </x:c>
      <x:c r="K116" s="18" t="str">
        <x:f>IF($C116="","",IFERROR(VLOOKUP($C116,Matches!$A$2:$Q$200,12,FALSE),""))</x:f>
      </x:c>
      <x:c r="L116" s="18" t="str">
        <x:f>IF($A116="","",IF($C116=1,"Yes",IF(OR($I116="",$A116&lt;$I116),"Yes","Late")))</x:f>
      </x:c>
      <x:c r="M116" s="66" t="str">
        <x:f>IF($A116="","",IF($L116&lt;&gt;"Yes",0,IF($E116="",0,IF($J116="",0,IF($H116="Group",IF($E116=$J116,Setup!$H$2,Setup!$H$3),IF($E116=$K116,Setup!$H$2,Setup!$H$3))))))</x:f>
      </x:c>
      <x:c r="N116" s="66" t="str">
        <x:f>IF($A116="","",IF($L116&lt;&gt;"Yes",0,IF(OR($F116="",$G116=""),0,IF(AND($F116=VLOOKUP($C116,Matches!$A$2:$Q$200,9,FALSE),$G116=VLOOKUP($C116,Matches!$A$2:$Q$200,10,FALSE)),Setup!$H$5,0))))</x:f>
      </x:c>
      <x:c r="O116" s="66" t="str">
        <x:f>IF($A116="","",$M116+$N116)</x:f>
      </x:c>
      <x:c r="P116" s="18" t="str">
        <x:f>IF($A116="","",IF($L116="Late","Late - 0 points",IF($J116="","Waiting for result",IF($O116&gt;0,"Scored",IF($O116&lt;0,"Wrong pick","No points")))))</x:f>
      </x:c>
    </x:row>
    <x:row r="117">
      <x:c r="A117" s="60" t="n">
        <x:f>'Form Responses 1'!A117</x:f>
        <x:v>0</x:v>
      </x:c>
      <x:c r="B117" s="18" t="n">
        <x:f>'Form Responses 1'!B117</x:f>
        <x:v>0</x:v>
      </x:c>
      <x:c r="C117" s="18" t="n">
        <x:f>'Form Responses 1'!C117</x:f>
        <x:v>0</x:v>
      </x:c>
      <x:c r="D117" s="18" t="n">
        <x:f>'Form Responses 1'!D117</x:f>
        <x:v>0</x:v>
      </x:c>
      <x:c r="E117" s="18" t="n">
        <x:f>'Form Responses 1'!E117</x:f>
        <x:v>0</x:v>
      </x:c>
      <x:c r="F117" s="18" t="n">
        <x:f>'Form Responses 1'!F117</x:f>
        <x:v>0</x:v>
      </x:c>
      <x:c r="G117" s="18" t="n">
        <x:f>'Form Responses 1'!G117</x:f>
        <x:v>0</x:v>
      </x:c>
      <x:c r="H117" s="18" t="str">
        <x:f>IF($C117="","",IFERROR(VLOOKUP($C117,Matches!$A$2:$Q$200,5,FALSE),"Unknown"))</x:f>
      </x:c>
      <x:c r="I117" s="60" t="str">
        <x:f>IF($C117="","",IFERROR(VLOOKUP($C117,Matches!$A$2:$Q$200,16,FALSE),""))</x:f>
      </x:c>
      <x:c r="J117" s="18" t="str">
        <x:f>IF($C117="","",IFERROR(VLOOKUP($C117,Matches!$A$2:$Q$200,11,FALSE),""))</x:f>
      </x:c>
      <x:c r="K117" s="18" t="str">
        <x:f>IF($C117="","",IFERROR(VLOOKUP($C117,Matches!$A$2:$Q$200,12,FALSE),""))</x:f>
      </x:c>
      <x:c r="L117" s="18" t="str">
        <x:f>IF($A117="","",IF($C117=1,"Yes",IF(OR($I117="",$A117&lt;$I117),"Yes","Late")))</x:f>
      </x:c>
      <x:c r="M117" s="66" t="str">
        <x:f>IF($A117="","",IF($L117&lt;&gt;"Yes",0,IF($E117="",0,IF($J117="",0,IF($H117="Group",IF($E117=$J117,Setup!$H$2,Setup!$H$3),IF($E117=$K117,Setup!$H$2,Setup!$H$3))))))</x:f>
      </x:c>
      <x:c r="N117" s="66" t="str">
        <x:f>IF($A117="","",IF($L117&lt;&gt;"Yes",0,IF(OR($F117="",$G117=""),0,IF(AND($F117=VLOOKUP($C117,Matches!$A$2:$Q$200,9,FALSE),$G117=VLOOKUP($C117,Matches!$A$2:$Q$200,10,FALSE)),Setup!$H$5,0))))</x:f>
      </x:c>
      <x:c r="O117" s="66" t="str">
        <x:f>IF($A117="","",$M117+$N117)</x:f>
      </x:c>
      <x:c r="P117" s="18" t="str">
        <x:f>IF($A117="","",IF($L117="Late","Late - 0 points",IF($J117="","Waiting for result",IF($O117&gt;0,"Scored",IF($O117&lt;0,"Wrong pick","No points")))))</x:f>
      </x:c>
    </x:row>
    <x:row r="118">
      <x:c r="A118" s="60" t="n">
        <x:f>'Form Responses 1'!A118</x:f>
        <x:v>0</x:v>
      </x:c>
      <x:c r="B118" s="18" t="n">
        <x:f>'Form Responses 1'!B118</x:f>
        <x:v>0</x:v>
      </x:c>
      <x:c r="C118" s="18" t="n">
        <x:f>'Form Responses 1'!C118</x:f>
        <x:v>0</x:v>
      </x:c>
      <x:c r="D118" s="18" t="n">
        <x:f>'Form Responses 1'!D118</x:f>
        <x:v>0</x:v>
      </x:c>
      <x:c r="E118" s="18" t="n">
        <x:f>'Form Responses 1'!E118</x:f>
        <x:v>0</x:v>
      </x:c>
      <x:c r="F118" s="18" t="n">
        <x:f>'Form Responses 1'!F118</x:f>
        <x:v>0</x:v>
      </x:c>
      <x:c r="G118" s="18" t="n">
        <x:f>'Form Responses 1'!G118</x:f>
        <x:v>0</x:v>
      </x:c>
      <x:c r="H118" s="18" t="str">
        <x:f>IF($C118="","",IFERROR(VLOOKUP($C118,Matches!$A$2:$Q$200,5,FALSE),"Unknown"))</x:f>
      </x:c>
      <x:c r="I118" s="60" t="str">
        <x:f>IF($C118="","",IFERROR(VLOOKUP($C118,Matches!$A$2:$Q$200,16,FALSE),""))</x:f>
      </x:c>
      <x:c r="J118" s="18" t="str">
        <x:f>IF($C118="","",IFERROR(VLOOKUP($C118,Matches!$A$2:$Q$200,11,FALSE),""))</x:f>
      </x:c>
      <x:c r="K118" s="18" t="str">
        <x:f>IF($C118="","",IFERROR(VLOOKUP($C118,Matches!$A$2:$Q$200,12,FALSE),""))</x:f>
      </x:c>
      <x:c r="L118" s="18" t="str">
        <x:f>IF($A118="","",IF($C118=1,"Yes",IF(OR($I118="",$A118&lt;$I118),"Yes","Late")))</x:f>
      </x:c>
      <x:c r="M118" s="66" t="str">
        <x:f>IF($A118="","",IF($L118&lt;&gt;"Yes",0,IF($E118="",0,IF($J118="",0,IF($H118="Group",IF($E118=$J118,Setup!$H$2,Setup!$H$3),IF($E118=$K118,Setup!$H$2,Setup!$H$3))))))</x:f>
      </x:c>
      <x:c r="N118" s="66" t="str">
        <x:f>IF($A118="","",IF($L118&lt;&gt;"Yes",0,IF(OR($F118="",$G118=""),0,IF(AND($F118=VLOOKUP($C118,Matches!$A$2:$Q$200,9,FALSE),$G118=VLOOKUP($C118,Matches!$A$2:$Q$200,10,FALSE)),Setup!$H$5,0))))</x:f>
      </x:c>
      <x:c r="O118" s="66" t="str">
        <x:f>IF($A118="","",$M118+$N118)</x:f>
      </x:c>
      <x:c r="P118" s="18" t="str">
        <x:f>IF($A118="","",IF($L118="Late","Late - 0 points",IF($J118="","Waiting for result",IF($O118&gt;0,"Scored",IF($O118&lt;0,"Wrong pick","No points")))))</x:f>
      </x:c>
    </x:row>
    <x:row r="119">
      <x:c r="A119" s="60" t="n">
        <x:f>'Form Responses 1'!A119</x:f>
        <x:v>0</x:v>
      </x:c>
      <x:c r="B119" s="18" t="n">
        <x:f>'Form Responses 1'!B119</x:f>
        <x:v>0</x:v>
      </x:c>
      <x:c r="C119" s="18" t="n">
        <x:f>'Form Responses 1'!C119</x:f>
        <x:v>0</x:v>
      </x:c>
      <x:c r="D119" s="18" t="n">
        <x:f>'Form Responses 1'!D119</x:f>
        <x:v>0</x:v>
      </x:c>
      <x:c r="E119" s="18" t="n">
        <x:f>'Form Responses 1'!E119</x:f>
        <x:v>0</x:v>
      </x:c>
      <x:c r="F119" s="18" t="n">
        <x:f>'Form Responses 1'!F119</x:f>
        <x:v>0</x:v>
      </x:c>
      <x:c r="G119" s="18" t="n">
        <x:f>'Form Responses 1'!G119</x:f>
        <x:v>0</x:v>
      </x:c>
      <x:c r="H119" s="18" t="str">
        <x:f>IF($C119="","",IFERROR(VLOOKUP($C119,Matches!$A$2:$Q$200,5,FALSE),"Unknown"))</x:f>
      </x:c>
      <x:c r="I119" s="60" t="str">
        <x:f>IF($C119="","",IFERROR(VLOOKUP($C119,Matches!$A$2:$Q$200,16,FALSE),""))</x:f>
      </x:c>
      <x:c r="J119" s="18" t="str">
        <x:f>IF($C119="","",IFERROR(VLOOKUP($C119,Matches!$A$2:$Q$200,11,FALSE),""))</x:f>
      </x:c>
      <x:c r="K119" s="18" t="str">
        <x:f>IF($C119="","",IFERROR(VLOOKUP($C119,Matches!$A$2:$Q$200,12,FALSE),""))</x:f>
      </x:c>
      <x:c r="L119" s="18" t="str">
        <x:f>IF($A119="","",IF($C119=1,"Yes",IF(OR($I119="",$A119&lt;$I119),"Yes","Late")))</x:f>
      </x:c>
      <x:c r="M119" s="66" t="str">
        <x:f>IF($A119="","",IF($L119&lt;&gt;"Yes",0,IF($E119="",0,IF($J119="",0,IF($H119="Group",IF($E119=$J119,Setup!$H$2,Setup!$H$3),IF($E119=$K119,Setup!$H$2,Setup!$H$3))))))</x:f>
      </x:c>
      <x:c r="N119" s="66" t="str">
        <x:f>IF($A119="","",IF($L119&lt;&gt;"Yes",0,IF(OR($F119="",$G119=""),0,IF(AND($F119=VLOOKUP($C119,Matches!$A$2:$Q$200,9,FALSE),$G119=VLOOKUP($C119,Matches!$A$2:$Q$200,10,FALSE)),Setup!$H$5,0))))</x:f>
      </x:c>
      <x:c r="O119" s="66" t="str">
        <x:f>IF($A119="","",$M119+$N119)</x:f>
      </x:c>
      <x:c r="P119" s="18" t="str">
        <x:f>IF($A119="","",IF($L119="Late","Late - 0 points",IF($J119="","Waiting for result",IF($O119&gt;0,"Scored",IF($O119&lt;0,"Wrong pick","No points")))))</x:f>
      </x:c>
    </x:row>
    <x:row r="120">
      <x:c r="A120" s="60" t="n">
        <x:f>'Form Responses 1'!A120</x:f>
        <x:v>0</x:v>
      </x:c>
      <x:c r="B120" s="18" t="n">
        <x:f>'Form Responses 1'!B120</x:f>
        <x:v>0</x:v>
      </x:c>
      <x:c r="C120" s="18" t="n">
        <x:f>'Form Responses 1'!C120</x:f>
        <x:v>0</x:v>
      </x:c>
      <x:c r="D120" s="18" t="n">
        <x:f>'Form Responses 1'!D120</x:f>
        <x:v>0</x:v>
      </x:c>
      <x:c r="E120" s="18" t="n">
        <x:f>'Form Responses 1'!E120</x:f>
        <x:v>0</x:v>
      </x:c>
      <x:c r="F120" s="18" t="n">
        <x:f>'Form Responses 1'!F120</x:f>
        <x:v>0</x:v>
      </x:c>
      <x:c r="G120" s="18" t="n">
        <x:f>'Form Responses 1'!G120</x:f>
        <x:v>0</x:v>
      </x:c>
      <x:c r="H120" s="18" t="str">
        <x:f>IF($C120="","",IFERROR(VLOOKUP($C120,Matches!$A$2:$Q$200,5,FALSE),"Unknown"))</x:f>
      </x:c>
      <x:c r="I120" s="60" t="str">
        <x:f>IF($C120="","",IFERROR(VLOOKUP($C120,Matches!$A$2:$Q$200,16,FALSE),""))</x:f>
      </x:c>
      <x:c r="J120" s="18" t="str">
        <x:f>IF($C120="","",IFERROR(VLOOKUP($C120,Matches!$A$2:$Q$200,11,FALSE),""))</x:f>
      </x:c>
      <x:c r="K120" s="18" t="str">
        <x:f>IF($C120="","",IFERROR(VLOOKUP($C120,Matches!$A$2:$Q$200,12,FALSE),""))</x:f>
      </x:c>
      <x:c r="L120" s="18" t="str">
        <x:f>IF($A120="","",IF($C120=1,"Yes",IF(OR($I120="",$A120&lt;$I120),"Yes","Late")))</x:f>
      </x:c>
      <x:c r="M120" s="66" t="str">
        <x:f>IF($A120="","",IF($L120&lt;&gt;"Yes",0,IF($E120="",0,IF($J120="",0,IF($H120="Group",IF($E120=$J120,Setup!$H$2,Setup!$H$3),IF($E120=$K120,Setup!$H$2,Setup!$H$3))))))</x:f>
      </x:c>
      <x:c r="N120" s="66" t="str">
        <x:f>IF($A120="","",IF($L120&lt;&gt;"Yes",0,IF(OR($F120="",$G120=""),0,IF(AND($F120=VLOOKUP($C120,Matches!$A$2:$Q$200,9,FALSE),$G120=VLOOKUP($C120,Matches!$A$2:$Q$200,10,FALSE)),Setup!$H$5,0))))</x:f>
      </x:c>
      <x:c r="O120" s="66" t="str">
        <x:f>IF($A120="","",$M120+$N120)</x:f>
      </x:c>
      <x:c r="P120" s="18" t="str">
        <x:f>IF($A120="","",IF($L120="Late","Late - 0 points",IF($J120="","Waiting for result",IF($O120&gt;0,"Scored",IF($O120&lt;0,"Wrong pick","No points")))))</x:f>
      </x:c>
    </x:row>
    <x:row r="121">
      <x:c r="A121" s="60" t="n">
        <x:f>'Form Responses 1'!A121</x:f>
        <x:v>0</x:v>
      </x:c>
      <x:c r="B121" s="18" t="n">
        <x:f>'Form Responses 1'!B121</x:f>
        <x:v>0</x:v>
      </x:c>
      <x:c r="C121" s="18" t="n">
        <x:f>'Form Responses 1'!C121</x:f>
        <x:v>0</x:v>
      </x:c>
      <x:c r="D121" s="18" t="n">
        <x:f>'Form Responses 1'!D121</x:f>
        <x:v>0</x:v>
      </x:c>
      <x:c r="E121" s="18" t="n">
        <x:f>'Form Responses 1'!E121</x:f>
        <x:v>0</x:v>
      </x:c>
      <x:c r="F121" s="18" t="n">
        <x:f>'Form Responses 1'!F121</x:f>
        <x:v>0</x:v>
      </x:c>
      <x:c r="G121" s="18" t="n">
        <x:f>'Form Responses 1'!G121</x:f>
        <x:v>0</x:v>
      </x:c>
      <x:c r="H121" s="18" t="str">
        <x:f>IF($C121="","",IFERROR(VLOOKUP($C121,Matches!$A$2:$Q$200,5,FALSE),"Unknown"))</x:f>
      </x:c>
      <x:c r="I121" s="60" t="str">
        <x:f>IF($C121="","",IFERROR(VLOOKUP($C121,Matches!$A$2:$Q$200,16,FALSE),""))</x:f>
      </x:c>
      <x:c r="J121" s="18" t="str">
        <x:f>IF($C121="","",IFERROR(VLOOKUP($C121,Matches!$A$2:$Q$200,11,FALSE),""))</x:f>
      </x:c>
      <x:c r="K121" s="18" t="str">
        <x:f>IF($C121="","",IFERROR(VLOOKUP($C121,Matches!$A$2:$Q$200,12,FALSE),""))</x:f>
      </x:c>
      <x:c r="L121" s="18" t="str">
        <x:f>IF($A121="","",IF($C121=1,"Yes",IF(OR($I121="",$A121&lt;$I121),"Yes","Late")))</x:f>
      </x:c>
      <x:c r="M121" s="66" t="str">
        <x:f>IF($A121="","",IF($L121&lt;&gt;"Yes",0,IF($E121="",0,IF($J121="",0,IF($H121="Group",IF($E121=$J121,Setup!$H$2,Setup!$H$3),IF($E121=$K121,Setup!$H$2,Setup!$H$3))))))</x:f>
      </x:c>
      <x:c r="N121" s="66" t="str">
        <x:f>IF($A121="","",IF($L121&lt;&gt;"Yes",0,IF(OR($F121="",$G121=""),0,IF(AND($F121=VLOOKUP($C121,Matches!$A$2:$Q$200,9,FALSE),$G121=VLOOKUP($C121,Matches!$A$2:$Q$200,10,FALSE)),Setup!$H$5,0))))</x:f>
      </x:c>
      <x:c r="O121" s="66" t="str">
        <x:f>IF($A121="","",$M121+$N121)</x:f>
      </x:c>
      <x:c r="P121" s="18" t="str">
        <x:f>IF($A121="","",IF($L121="Late","Late - 0 points",IF($J121="","Waiting for result",IF($O121&gt;0,"Scored",IF($O121&lt;0,"Wrong pick","No points")))))</x:f>
      </x:c>
    </x:row>
    <x:row r="122">
      <x:c r="A122" s="60" t="n">
        <x:f>'Form Responses 1'!A122</x:f>
        <x:v>0</x:v>
      </x:c>
      <x:c r="B122" s="18" t="n">
        <x:f>'Form Responses 1'!B122</x:f>
        <x:v>0</x:v>
      </x:c>
      <x:c r="C122" s="18" t="n">
        <x:f>'Form Responses 1'!C122</x:f>
        <x:v>0</x:v>
      </x:c>
      <x:c r="D122" s="18" t="n">
        <x:f>'Form Responses 1'!D122</x:f>
        <x:v>0</x:v>
      </x:c>
      <x:c r="E122" s="18" t="n">
        <x:f>'Form Responses 1'!E122</x:f>
        <x:v>0</x:v>
      </x:c>
      <x:c r="F122" s="18" t="n">
        <x:f>'Form Responses 1'!F122</x:f>
        <x:v>0</x:v>
      </x:c>
      <x:c r="G122" s="18" t="n">
        <x:f>'Form Responses 1'!G122</x:f>
        <x:v>0</x:v>
      </x:c>
      <x:c r="H122" s="18" t="str">
        <x:f>IF($C122="","",IFERROR(VLOOKUP($C122,Matches!$A$2:$Q$200,5,FALSE),"Unknown"))</x:f>
      </x:c>
      <x:c r="I122" s="60" t="str">
        <x:f>IF($C122="","",IFERROR(VLOOKUP($C122,Matches!$A$2:$Q$200,16,FALSE),""))</x:f>
      </x:c>
      <x:c r="J122" s="18" t="str">
        <x:f>IF($C122="","",IFERROR(VLOOKUP($C122,Matches!$A$2:$Q$200,11,FALSE),""))</x:f>
      </x:c>
      <x:c r="K122" s="18" t="str">
        <x:f>IF($C122="","",IFERROR(VLOOKUP($C122,Matches!$A$2:$Q$200,12,FALSE),""))</x:f>
      </x:c>
      <x:c r="L122" s="18" t="str">
        <x:f>IF($A122="","",IF($C122=1,"Yes",IF(OR($I122="",$A122&lt;$I122),"Yes","Late")))</x:f>
      </x:c>
      <x:c r="M122" s="66" t="str">
        <x:f>IF($A122="","",IF($L122&lt;&gt;"Yes",0,IF($E122="",0,IF($J122="",0,IF($H122="Group",IF($E122=$J122,Setup!$H$2,Setup!$H$3),IF($E122=$K122,Setup!$H$2,Setup!$H$3))))))</x:f>
      </x:c>
      <x:c r="N122" s="66" t="str">
        <x:f>IF($A122="","",IF($L122&lt;&gt;"Yes",0,IF(OR($F122="",$G122=""),0,IF(AND($F122=VLOOKUP($C122,Matches!$A$2:$Q$200,9,FALSE),$G122=VLOOKUP($C122,Matches!$A$2:$Q$200,10,FALSE)),Setup!$H$5,0))))</x:f>
      </x:c>
      <x:c r="O122" s="66" t="str">
        <x:f>IF($A122="","",$M122+$N122)</x:f>
      </x:c>
      <x:c r="P122" s="18" t="str">
        <x:f>IF($A122="","",IF($L122="Late","Late - 0 points",IF($J122="","Waiting for result",IF($O122&gt;0,"Scored",IF($O122&lt;0,"Wrong pick","No points")))))</x:f>
      </x:c>
    </x:row>
    <x:row r="123">
      <x:c r="A123" s="60" t="n">
        <x:f>'Form Responses 1'!A123</x:f>
        <x:v>0</x:v>
      </x:c>
      <x:c r="B123" s="18" t="n">
        <x:f>'Form Responses 1'!B123</x:f>
        <x:v>0</x:v>
      </x:c>
      <x:c r="C123" s="18" t="n">
        <x:f>'Form Responses 1'!C123</x:f>
        <x:v>0</x:v>
      </x:c>
      <x:c r="D123" s="18" t="n">
        <x:f>'Form Responses 1'!D123</x:f>
        <x:v>0</x:v>
      </x:c>
      <x:c r="E123" s="18" t="n">
        <x:f>'Form Responses 1'!E123</x:f>
        <x:v>0</x:v>
      </x:c>
      <x:c r="F123" s="18" t="n">
        <x:f>'Form Responses 1'!F123</x:f>
        <x:v>0</x:v>
      </x:c>
      <x:c r="G123" s="18" t="n">
        <x:f>'Form Responses 1'!G123</x:f>
        <x:v>0</x:v>
      </x:c>
      <x:c r="H123" s="18" t="str">
        <x:f>IF($C123="","",IFERROR(VLOOKUP($C123,Matches!$A$2:$Q$200,5,FALSE),"Unknown"))</x:f>
      </x:c>
      <x:c r="I123" s="60" t="str">
        <x:f>IF($C123="","",IFERROR(VLOOKUP($C123,Matches!$A$2:$Q$200,16,FALSE),""))</x:f>
      </x:c>
      <x:c r="J123" s="18" t="str">
        <x:f>IF($C123="","",IFERROR(VLOOKUP($C123,Matches!$A$2:$Q$200,11,FALSE),""))</x:f>
      </x:c>
      <x:c r="K123" s="18" t="str">
        <x:f>IF($C123="","",IFERROR(VLOOKUP($C123,Matches!$A$2:$Q$200,12,FALSE),""))</x:f>
      </x:c>
      <x:c r="L123" s="18" t="str">
        <x:f>IF($A123="","",IF($C123=1,"Yes",IF(OR($I123="",$A123&lt;$I123),"Yes","Late")))</x:f>
      </x:c>
      <x:c r="M123" s="66" t="str">
        <x:f>IF($A123="","",IF($L123&lt;&gt;"Yes",0,IF($E123="",0,IF($J123="",0,IF($H123="Group",IF($E123=$J123,Setup!$H$2,Setup!$H$3),IF($E123=$K123,Setup!$H$2,Setup!$H$3))))))</x:f>
      </x:c>
      <x:c r="N123" s="66" t="str">
        <x:f>IF($A123="","",IF($L123&lt;&gt;"Yes",0,IF(OR($F123="",$G123=""),0,IF(AND($F123=VLOOKUP($C123,Matches!$A$2:$Q$200,9,FALSE),$G123=VLOOKUP($C123,Matches!$A$2:$Q$200,10,FALSE)),Setup!$H$5,0))))</x:f>
      </x:c>
      <x:c r="O123" s="66" t="str">
        <x:f>IF($A123="","",$M123+$N123)</x:f>
      </x:c>
      <x:c r="P123" s="18" t="str">
        <x:f>IF($A123="","",IF($L123="Late","Late - 0 points",IF($J123="","Waiting for result",IF($O123&gt;0,"Scored",IF($O123&lt;0,"Wrong pick","No points")))))</x:f>
      </x:c>
    </x:row>
    <x:row r="124">
      <x:c r="A124" s="60" t="n">
        <x:f>'Form Responses 1'!A124</x:f>
        <x:v>0</x:v>
      </x:c>
      <x:c r="B124" s="18" t="n">
        <x:f>'Form Responses 1'!B124</x:f>
        <x:v>0</x:v>
      </x:c>
      <x:c r="C124" s="18" t="n">
        <x:f>'Form Responses 1'!C124</x:f>
        <x:v>0</x:v>
      </x:c>
      <x:c r="D124" s="18" t="n">
        <x:f>'Form Responses 1'!D124</x:f>
        <x:v>0</x:v>
      </x:c>
      <x:c r="E124" s="18" t="n">
        <x:f>'Form Responses 1'!E124</x:f>
        <x:v>0</x:v>
      </x:c>
      <x:c r="F124" s="18" t="n">
        <x:f>'Form Responses 1'!F124</x:f>
        <x:v>0</x:v>
      </x:c>
      <x:c r="G124" s="18" t="n">
        <x:f>'Form Responses 1'!G124</x:f>
        <x:v>0</x:v>
      </x:c>
      <x:c r="H124" s="18" t="str">
        <x:f>IF($C124="","",IFERROR(VLOOKUP($C124,Matches!$A$2:$Q$200,5,FALSE),"Unknown"))</x:f>
      </x:c>
      <x:c r="I124" s="60" t="str">
        <x:f>IF($C124="","",IFERROR(VLOOKUP($C124,Matches!$A$2:$Q$200,16,FALSE),""))</x:f>
      </x:c>
      <x:c r="J124" s="18" t="str">
        <x:f>IF($C124="","",IFERROR(VLOOKUP($C124,Matches!$A$2:$Q$200,11,FALSE),""))</x:f>
      </x:c>
      <x:c r="K124" s="18" t="str">
        <x:f>IF($C124="","",IFERROR(VLOOKUP($C124,Matches!$A$2:$Q$200,12,FALSE),""))</x:f>
      </x:c>
      <x:c r="L124" s="18" t="str">
        <x:f>IF($A124="","",IF($C124=1,"Yes",IF(OR($I124="",$A124&lt;$I124),"Yes","Late")))</x:f>
      </x:c>
      <x:c r="M124" s="66" t="str">
        <x:f>IF($A124="","",IF($L124&lt;&gt;"Yes",0,IF($E124="",0,IF($J124="",0,IF($H124="Group",IF($E124=$J124,Setup!$H$2,Setup!$H$3),IF($E124=$K124,Setup!$H$2,Setup!$H$3))))))</x:f>
      </x:c>
      <x:c r="N124" s="66" t="str">
        <x:f>IF($A124="","",IF($L124&lt;&gt;"Yes",0,IF(OR($F124="",$G124=""),0,IF(AND($F124=VLOOKUP($C124,Matches!$A$2:$Q$200,9,FALSE),$G124=VLOOKUP($C124,Matches!$A$2:$Q$200,10,FALSE)),Setup!$H$5,0))))</x:f>
      </x:c>
      <x:c r="O124" s="66" t="str">
        <x:f>IF($A124="","",$M124+$N124)</x:f>
      </x:c>
      <x:c r="P124" s="18" t="str">
        <x:f>IF($A124="","",IF($L124="Late","Late - 0 points",IF($J124="","Waiting for result",IF($O124&gt;0,"Scored",IF($O124&lt;0,"Wrong pick","No points")))))</x:f>
      </x:c>
    </x:row>
    <x:row r="125">
      <x:c r="A125" s="60" t="n">
        <x:f>'Form Responses 1'!A125</x:f>
        <x:v>0</x:v>
      </x:c>
      <x:c r="B125" s="18" t="n">
        <x:f>'Form Responses 1'!B125</x:f>
        <x:v>0</x:v>
      </x:c>
      <x:c r="C125" s="18" t="n">
        <x:f>'Form Responses 1'!C125</x:f>
        <x:v>0</x:v>
      </x:c>
      <x:c r="D125" s="18" t="n">
        <x:f>'Form Responses 1'!D125</x:f>
        <x:v>0</x:v>
      </x:c>
      <x:c r="E125" s="18" t="n">
        <x:f>'Form Responses 1'!E125</x:f>
        <x:v>0</x:v>
      </x:c>
      <x:c r="F125" s="18" t="n">
        <x:f>'Form Responses 1'!F125</x:f>
        <x:v>0</x:v>
      </x:c>
      <x:c r="G125" s="18" t="n">
        <x:f>'Form Responses 1'!G125</x:f>
        <x:v>0</x:v>
      </x:c>
      <x:c r="H125" s="18" t="str">
        <x:f>IF($C125="","",IFERROR(VLOOKUP($C125,Matches!$A$2:$Q$200,5,FALSE),"Unknown"))</x:f>
      </x:c>
      <x:c r="I125" s="60" t="str">
        <x:f>IF($C125="","",IFERROR(VLOOKUP($C125,Matches!$A$2:$Q$200,16,FALSE),""))</x:f>
      </x:c>
      <x:c r="J125" s="18" t="str">
        <x:f>IF($C125="","",IFERROR(VLOOKUP($C125,Matches!$A$2:$Q$200,11,FALSE),""))</x:f>
      </x:c>
      <x:c r="K125" s="18" t="str">
        <x:f>IF($C125="","",IFERROR(VLOOKUP($C125,Matches!$A$2:$Q$200,12,FALSE),""))</x:f>
      </x:c>
      <x:c r="L125" s="18" t="str">
        <x:f>IF($A125="","",IF($C125=1,"Yes",IF(OR($I125="",$A125&lt;$I125),"Yes","Late")))</x:f>
      </x:c>
      <x:c r="M125" s="66" t="str">
        <x:f>IF($A125="","",IF($L125&lt;&gt;"Yes",0,IF($E125="",0,IF($J125="",0,IF($H125="Group",IF($E125=$J125,Setup!$H$2,Setup!$H$3),IF($E125=$K125,Setup!$H$2,Setup!$H$3))))))</x:f>
      </x:c>
      <x:c r="N125" s="66" t="str">
        <x:f>IF($A125="","",IF($L125&lt;&gt;"Yes",0,IF(OR($F125="",$G125=""),0,IF(AND($F125=VLOOKUP($C125,Matches!$A$2:$Q$200,9,FALSE),$G125=VLOOKUP($C125,Matches!$A$2:$Q$200,10,FALSE)),Setup!$H$5,0))))</x:f>
      </x:c>
      <x:c r="O125" s="66" t="str">
        <x:f>IF($A125="","",$M125+$N125)</x:f>
      </x:c>
      <x:c r="P125" s="18" t="str">
        <x:f>IF($A125="","",IF($L125="Late","Late - 0 points",IF($J125="","Waiting for result",IF($O125&gt;0,"Scored",IF($O125&lt;0,"Wrong pick","No points")))))</x:f>
      </x:c>
    </x:row>
    <x:row r="126">
      <x:c r="A126" s="60" t="n">
        <x:f>'Form Responses 1'!A126</x:f>
        <x:v>0</x:v>
      </x:c>
      <x:c r="B126" s="18" t="n">
        <x:f>'Form Responses 1'!B126</x:f>
        <x:v>0</x:v>
      </x:c>
      <x:c r="C126" s="18" t="n">
        <x:f>'Form Responses 1'!C126</x:f>
        <x:v>0</x:v>
      </x:c>
      <x:c r="D126" s="18" t="n">
        <x:f>'Form Responses 1'!D126</x:f>
        <x:v>0</x:v>
      </x:c>
      <x:c r="E126" s="18" t="n">
        <x:f>'Form Responses 1'!E126</x:f>
        <x:v>0</x:v>
      </x:c>
      <x:c r="F126" s="18" t="n">
        <x:f>'Form Responses 1'!F126</x:f>
        <x:v>0</x:v>
      </x:c>
      <x:c r="G126" s="18" t="n">
        <x:f>'Form Responses 1'!G126</x:f>
        <x:v>0</x:v>
      </x:c>
      <x:c r="H126" s="18" t="str">
        <x:f>IF($C126="","",IFERROR(VLOOKUP($C126,Matches!$A$2:$Q$200,5,FALSE),"Unknown"))</x:f>
      </x:c>
      <x:c r="I126" s="60" t="str">
        <x:f>IF($C126="","",IFERROR(VLOOKUP($C126,Matches!$A$2:$Q$200,16,FALSE),""))</x:f>
      </x:c>
      <x:c r="J126" s="18" t="str">
        <x:f>IF($C126="","",IFERROR(VLOOKUP($C126,Matches!$A$2:$Q$200,11,FALSE),""))</x:f>
      </x:c>
      <x:c r="K126" s="18" t="str">
        <x:f>IF($C126="","",IFERROR(VLOOKUP($C126,Matches!$A$2:$Q$200,12,FALSE),""))</x:f>
      </x:c>
      <x:c r="L126" s="18" t="str">
        <x:f>IF($A126="","",IF($C126=1,"Yes",IF(OR($I126="",$A126&lt;$I126),"Yes","Late")))</x:f>
      </x:c>
      <x:c r="M126" s="66" t="str">
        <x:f>IF($A126="","",IF($L126&lt;&gt;"Yes",0,IF($E126="",0,IF($J126="",0,IF($H126="Group",IF($E126=$J126,Setup!$H$2,Setup!$H$3),IF($E126=$K126,Setup!$H$2,Setup!$H$3))))))</x:f>
      </x:c>
      <x:c r="N126" s="66" t="str">
        <x:f>IF($A126="","",IF($L126&lt;&gt;"Yes",0,IF(OR($F126="",$G126=""),0,IF(AND($F126=VLOOKUP($C126,Matches!$A$2:$Q$200,9,FALSE),$G126=VLOOKUP($C126,Matches!$A$2:$Q$200,10,FALSE)),Setup!$H$5,0))))</x:f>
      </x:c>
      <x:c r="O126" s="66" t="str">
        <x:f>IF($A126="","",$M126+$N126)</x:f>
      </x:c>
      <x:c r="P126" s="18" t="str">
        <x:f>IF($A126="","",IF($L126="Late","Late - 0 points",IF($J126="","Waiting for result",IF($O126&gt;0,"Scored",IF($O126&lt;0,"Wrong pick","No points")))))</x:f>
      </x:c>
    </x:row>
    <x:row r="127">
      <x:c r="A127" s="60" t="n">
        <x:f>'Form Responses 1'!A127</x:f>
        <x:v>0</x:v>
      </x:c>
      <x:c r="B127" s="18" t="n">
        <x:f>'Form Responses 1'!B127</x:f>
        <x:v>0</x:v>
      </x:c>
      <x:c r="C127" s="18" t="n">
        <x:f>'Form Responses 1'!C127</x:f>
        <x:v>0</x:v>
      </x:c>
      <x:c r="D127" s="18" t="n">
        <x:f>'Form Responses 1'!D127</x:f>
        <x:v>0</x:v>
      </x:c>
      <x:c r="E127" s="18" t="n">
        <x:f>'Form Responses 1'!E127</x:f>
        <x:v>0</x:v>
      </x:c>
      <x:c r="F127" s="18" t="n">
        <x:f>'Form Responses 1'!F127</x:f>
        <x:v>0</x:v>
      </x:c>
      <x:c r="G127" s="18" t="n">
        <x:f>'Form Responses 1'!G127</x:f>
        <x:v>0</x:v>
      </x:c>
      <x:c r="H127" s="18" t="str">
        <x:f>IF($C127="","",IFERROR(VLOOKUP($C127,Matches!$A$2:$Q$200,5,FALSE),"Unknown"))</x:f>
      </x:c>
      <x:c r="I127" s="60" t="str">
        <x:f>IF($C127="","",IFERROR(VLOOKUP($C127,Matches!$A$2:$Q$200,16,FALSE),""))</x:f>
      </x:c>
      <x:c r="J127" s="18" t="str">
        <x:f>IF($C127="","",IFERROR(VLOOKUP($C127,Matches!$A$2:$Q$200,11,FALSE),""))</x:f>
      </x:c>
      <x:c r="K127" s="18" t="str">
        <x:f>IF($C127="","",IFERROR(VLOOKUP($C127,Matches!$A$2:$Q$200,12,FALSE),""))</x:f>
      </x:c>
      <x:c r="L127" s="18" t="str">
        <x:f>IF($A127="","",IF($C127=1,"Yes",IF(OR($I127="",$A127&lt;$I127),"Yes","Late")))</x:f>
      </x:c>
      <x:c r="M127" s="66" t="str">
        <x:f>IF($A127="","",IF($L127&lt;&gt;"Yes",0,IF($E127="",0,IF($J127="",0,IF($H127="Group",IF($E127=$J127,Setup!$H$2,Setup!$H$3),IF($E127=$K127,Setup!$H$2,Setup!$H$3))))))</x:f>
      </x:c>
      <x:c r="N127" s="66" t="str">
        <x:f>IF($A127="","",IF($L127&lt;&gt;"Yes",0,IF(OR($F127="",$G127=""),0,IF(AND($F127=VLOOKUP($C127,Matches!$A$2:$Q$200,9,FALSE),$G127=VLOOKUP($C127,Matches!$A$2:$Q$200,10,FALSE)),Setup!$H$5,0))))</x:f>
      </x:c>
      <x:c r="O127" s="66" t="str">
        <x:f>IF($A127="","",$M127+$N127)</x:f>
      </x:c>
      <x:c r="P127" s="18" t="str">
        <x:f>IF($A127="","",IF($L127="Late","Late - 0 points",IF($J127="","Waiting for result",IF($O127&gt;0,"Scored",IF($O127&lt;0,"Wrong pick","No points")))))</x:f>
      </x:c>
    </x:row>
    <x:row r="128">
      <x:c r="A128" s="60" t="n">
        <x:f>'Form Responses 1'!A128</x:f>
        <x:v>0</x:v>
      </x:c>
      <x:c r="B128" s="18" t="n">
        <x:f>'Form Responses 1'!B128</x:f>
        <x:v>0</x:v>
      </x:c>
      <x:c r="C128" s="18" t="n">
        <x:f>'Form Responses 1'!C128</x:f>
        <x:v>0</x:v>
      </x:c>
      <x:c r="D128" s="18" t="n">
        <x:f>'Form Responses 1'!D128</x:f>
        <x:v>0</x:v>
      </x:c>
      <x:c r="E128" s="18" t="n">
        <x:f>'Form Responses 1'!E128</x:f>
        <x:v>0</x:v>
      </x:c>
      <x:c r="F128" s="18" t="n">
        <x:f>'Form Responses 1'!F128</x:f>
        <x:v>0</x:v>
      </x:c>
      <x:c r="G128" s="18" t="n">
        <x:f>'Form Responses 1'!G128</x:f>
        <x:v>0</x:v>
      </x:c>
      <x:c r="H128" s="18" t="str">
        <x:f>IF($C128="","",IFERROR(VLOOKUP($C128,Matches!$A$2:$Q$200,5,FALSE),"Unknown"))</x:f>
      </x:c>
      <x:c r="I128" s="60" t="str">
        <x:f>IF($C128="","",IFERROR(VLOOKUP($C128,Matches!$A$2:$Q$200,16,FALSE),""))</x:f>
      </x:c>
      <x:c r="J128" s="18" t="str">
        <x:f>IF($C128="","",IFERROR(VLOOKUP($C128,Matches!$A$2:$Q$200,11,FALSE),""))</x:f>
      </x:c>
      <x:c r="K128" s="18" t="str">
        <x:f>IF($C128="","",IFERROR(VLOOKUP($C128,Matches!$A$2:$Q$200,12,FALSE),""))</x:f>
      </x:c>
      <x:c r="L128" s="18" t="str">
        <x:f>IF($A128="","",IF($C128=1,"Yes",IF(OR($I128="",$A128&lt;$I128),"Yes","Late")))</x:f>
      </x:c>
      <x:c r="M128" s="66" t="str">
        <x:f>IF($A128="","",IF($L128&lt;&gt;"Yes",0,IF($E128="",0,IF($J128="",0,IF($H128="Group",IF($E128=$J128,Setup!$H$2,Setup!$H$3),IF($E128=$K128,Setup!$H$2,Setup!$H$3))))))</x:f>
      </x:c>
      <x:c r="N128" s="66" t="str">
        <x:f>IF($A128="","",IF($L128&lt;&gt;"Yes",0,IF(OR($F128="",$G128=""),0,IF(AND($F128=VLOOKUP($C128,Matches!$A$2:$Q$200,9,FALSE),$G128=VLOOKUP($C128,Matches!$A$2:$Q$200,10,FALSE)),Setup!$H$5,0))))</x:f>
      </x:c>
      <x:c r="O128" s="66" t="str">
        <x:f>IF($A128="","",$M128+$N128)</x:f>
      </x:c>
      <x:c r="P128" s="18" t="str">
        <x:f>IF($A128="","",IF($L128="Late","Late - 0 points",IF($J128="","Waiting for result",IF($O128&gt;0,"Scored",IF($O128&lt;0,"Wrong pick","No points")))))</x:f>
      </x:c>
    </x:row>
    <x:row r="129">
      <x:c r="A129" s="60" t="n">
        <x:f>'Form Responses 1'!A129</x:f>
        <x:v>0</x:v>
      </x:c>
      <x:c r="B129" s="18" t="n">
        <x:f>'Form Responses 1'!B129</x:f>
        <x:v>0</x:v>
      </x:c>
      <x:c r="C129" s="18" t="n">
        <x:f>'Form Responses 1'!C129</x:f>
        <x:v>0</x:v>
      </x:c>
      <x:c r="D129" s="18" t="n">
        <x:f>'Form Responses 1'!D129</x:f>
        <x:v>0</x:v>
      </x:c>
      <x:c r="E129" s="18" t="n">
        <x:f>'Form Responses 1'!E129</x:f>
        <x:v>0</x:v>
      </x:c>
      <x:c r="F129" s="18" t="n">
        <x:f>'Form Responses 1'!F129</x:f>
        <x:v>0</x:v>
      </x:c>
      <x:c r="G129" s="18" t="n">
        <x:f>'Form Responses 1'!G129</x:f>
        <x:v>0</x:v>
      </x:c>
      <x:c r="H129" s="18" t="str">
        <x:f>IF($C129="","",IFERROR(VLOOKUP($C129,Matches!$A$2:$Q$200,5,FALSE),"Unknown"))</x:f>
      </x:c>
      <x:c r="I129" s="60" t="str">
        <x:f>IF($C129="","",IFERROR(VLOOKUP($C129,Matches!$A$2:$Q$200,16,FALSE),""))</x:f>
      </x:c>
      <x:c r="J129" s="18" t="str">
        <x:f>IF($C129="","",IFERROR(VLOOKUP($C129,Matches!$A$2:$Q$200,11,FALSE),""))</x:f>
      </x:c>
      <x:c r="K129" s="18" t="str">
        <x:f>IF($C129="","",IFERROR(VLOOKUP($C129,Matches!$A$2:$Q$200,12,FALSE),""))</x:f>
      </x:c>
      <x:c r="L129" s="18" t="str">
        <x:f>IF($A129="","",IF($C129=1,"Yes",IF(OR($I129="",$A129&lt;$I129),"Yes","Late")))</x:f>
      </x:c>
      <x:c r="M129" s="66" t="str">
        <x:f>IF($A129="","",IF($L129&lt;&gt;"Yes",0,IF($E129="",0,IF($J129="",0,IF($H129="Group",IF($E129=$J129,Setup!$H$2,Setup!$H$3),IF($E129=$K129,Setup!$H$2,Setup!$H$3))))))</x:f>
      </x:c>
      <x:c r="N129" s="66" t="str">
        <x:f>IF($A129="","",IF($L129&lt;&gt;"Yes",0,IF(OR($F129="",$G129=""),0,IF(AND($F129=VLOOKUP($C129,Matches!$A$2:$Q$200,9,FALSE),$G129=VLOOKUP($C129,Matches!$A$2:$Q$200,10,FALSE)),Setup!$H$5,0))))</x:f>
      </x:c>
      <x:c r="O129" s="66" t="str">
        <x:f>IF($A129="","",$M129+$N129)</x:f>
      </x:c>
      <x:c r="P129" s="18" t="str">
        <x:f>IF($A129="","",IF($L129="Late","Late - 0 points",IF($J129="","Waiting for result",IF($O129&gt;0,"Scored",IF($O129&lt;0,"Wrong pick","No points")))))</x:f>
      </x:c>
    </x:row>
    <x:row r="130">
      <x:c r="A130" s="60" t="n">
        <x:f>'Form Responses 1'!A130</x:f>
        <x:v>0</x:v>
      </x:c>
      <x:c r="B130" s="18" t="n">
        <x:f>'Form Responses 1'!B130</x:f>
        <x:v>0</x:v>
      </x:c>
      <x:c r="C130" s="18" t="n">
        <x:f>'Form Responses 1'!C130</x:f>
        <x:v>0</x:v>
      </x:c>
      <x:c r="D130" s="18" t="n">
        <x:f>'Form Responses 1'!D130</x:f>
        <x:v>0</x:v>
      </x:c>
      <x:c r="E130" s="18" t="n">
        <x:f>'Form Responses 1'!E130</x:f>
        <x:v>0</x:v>
      </x:c>
      <x:c r="F130" s="18" t="n">
        <x:f>'Form Responses 1'!F130</x:f>
        <x:v>0</x:v>
      </x:c>
      <x:c r="G130" s="18" t="n">
        <x:f>'Form Responses 1'!G130</x:f>
        <x:v>0</x:v>
      </x:c>
      <x:c r="H130" s="18" t="str">
        <x:f>IF($C130="","",IFERROR(VLOOKUP($C130,Matches!$A$2:$Q$200,5,FALSE),"Unknown"))</x:f>
      </x:c>
      <x:c r="I130" s="60" t="str">
        <x:f>IF($C130="","",IFERROR(VLOOKUP($C130,Matches!$A$2:$Q$200,16,FALSE),""))</x:f>
      </x:c>
      <x:c r="J130" s="18" t="str">
        <x:f>IF($C130="","",IFERROR(VLOOKUP($C130,Matches!$A$2:$Q$200,11,FALSE),""))</x:f>
      </x:c>
      <x:c r="K130" s="18" t="str">
        <x:f>IF($C130="","",IFERROR(VLOOKUP($C130,Matches!$A$2:$Q$200,12,FALSE),""))</x:f>
      </x:c>
      <x:c r="L130" s="18" t="str">
        <x:f>IF($A130="","",IF($C130=1,"Yes",IF(OR($I130="",$A130&lt;$I130),"Yes","Late")))</x:f>
      </x:c>
      <x:c r="M130" s="66" t="str">
        <x:f>IF($A130="","",IF($L130&lt;&gt;"Yes",0,IF($E130="",0,IF($J130="",0,IF($H130="Group",IF($E130=$J130,Setup!$H$2,Setup!$H$3),IF($E130=$K130,Setup!$H$2,Setup!$H$3))))))</x:f>
      </x:c>
      <x:c r="N130" s="66" t="str">
        <x:f>IF($A130="","",IF($L130&lt;&gt;"Yes",0,IF(OR($F130="",$G130=""),0,IF(AND($F130=VLOOKUP($C130,Matches!$A$2:$Q$200,9,FALSE),$G130=VLOOKUP($C130,Matches!$A$2:$Q$200,10,FALSE)),Setup!$H$5,0))))</x:f>
      </x:c>
      <x:c r="O130" s="66" t="str">
        <x:f>IF($A130="","",$M130+$N130)</x:f>
      </x:c>
      <x:c r="P130" s="18" t="str">
        <x:f>IF($A130="","",IF($L130="Late","Late - 0 points",IF($J130="","Waiting for result",IF($O130&gt;0,"Scored",IF($O130&lt;0,"Wrong pick","No points")))))</x:f>
      </x:c>
    </x:row>
    <x:row r="131">
      <x:c r="A131" s="60" t="n">
        <x:f>'Form Responses 1'!A131</x:f>
        <x:v>0</x:v>
      </x:c>
      <x:c r="B131" s="18" t="n">
        <x:f>'Form Responses 1'!B131</x:f>
        <x:v>0</x:v>
      </x:c>
      <x:c r="C131" s="18" t="n">
        <x:f>'Form Responses 1'!C131</x:f>
        <x:v>0</x:v>
      </x:c>
      <x:c r="D131" s="18" t="n">
        <x:f>'Form Responses 1'!D131</x:f>
        <x:v>0</x:v>
      </x:c>
      <x:c r="E131" s="18" t="n">
        <x:f>'Form Responses 1'!E131</x:f>
        <x:v>0</x:v>
      </x:c>
      <x:c r="F131" s="18" t="n">
        <x:f>'Form Responses 1'!F131</x:f>
        <x:v>0</x:v>
      </x:c>
      <x:c r="G131" s="18" t="n">
        <x:f>'Form Responses 1'!G131</x:f>
        <x:v>0</x:v>
      </x:c>
      <x:c r="H131" s="18" t="str">
        <x:f>IF($C131="","",IFERROR(VLOOKUP($C131,Matches!$A$2:$Q$200,5,FALSE),"Unknown"))</x:f>
      </x:c>
      <x:c r="I131" s="60" t="str">
        <x:f>IF($C131="","",IFERROR(VLOOKUP($C131,Matches!$A$2:$Q$200,16,FALSE),""))</x:f>
      </x:c>
      <x:c r="J131" s="18" t="str">
        <x:f>IF($C131="","",IFERROR(VLOOKUP($C131,Matches!$A$2:$Q$200,11,FALSE),""))</x:f>
      </x:c>
      <x:c r="K131" s="18" t="str">
        <x:f>IF($C131="","",IFERROR(VLOOKUP($C131,Matches!$A$2:$Q$200,12,FALSE),""))</x:f>
      </x:c>
      <x:c r="L131" s="18" t="str">
        <x:f>IF($A131="","",IF($C131=1,"Yes",IF(OR($I131="",$A131&lt;$I131),"Yes","Late")))</x:f>
      </x:c>
      <x:c r="M131" s="66" t="str">
        <x:f>IF($A131="","",IF($L131&lt;&gt;"Yes",0,IF($E131="",0,IF($J131="",0,IF($H131="Group",IF($E131=$J131,Setup!$H$2,Setup!$H$3),IF($E131=$K131,Setup!$H$2,Setup!$H$3))))))</x:f>
      </x:c>
      <x:c r="N131" s="66" t="str">
        <x:f>IF($A131="","",IF($L131&lt;&gt;"Yes",0,IF(OR($F131="",$G131=""),0,IF(AND($F131=VLOOKUP($C131,Matches!$A$2:$Q$200,9,FALSE),$G131=VLOOKUP($C131,Matches!$A$2:$Q$200,10,FALSE)),Setup!$H$5,0))))</x:f>
      </x:c>
      <x:c r="O131" s="66" t="str">
        <x:f>IF($A131="","",$M131+$N131)</x:f>
      </x:c>
      <x:c r="P131" s="18" t="str">
        <x:f>IF($A131="","",IF($L131="Late","Late - 0 points",IF($J131="","Waiting for result",IF($O131&gt;0,"Scored",IF($O131&lt;0,"Wrong pick","No points")))))</x:f>
      </x:c>
    </x:row>
    <x:row r="132">
      <x:c r="A132" s="60" t="n">
        <x:f>'Form Responses 1'!A132</x:f>
        <x:v>0</x:v>
      </x:c>
      <x:c r="B132" s="18" t="n">
        <x:f>'Form Responses 1'!B132</x:f>
        <x:v>0</x:v>
      </x:c>
      <x:c r="C132" s="18" t="n">
        <x:f>'Form Responses 1'!C132</x:f>
        <x:v>0</x:v>
      </x:c>
      <x:c r="D132" s="18" t="n">
        <x:f>'Form Responses 1'!D132</x:f>
        <x:v>0</x:v>
      </x:c>
      <x:c r="E132" s="18" t="n">
        <x:f>'Form Responses 1'!E132</x:f>
        <x:v>0</x:v>
      </x:c>
      <x:c r="F132" s="18" t="n">
        <x:f>'Form Responses 1'!F132</x:f>
        <x:v>0</x:v>
      </x:c>
      <x:c r="G132" s="18" t="n">
        <x:f>'Form Responses 1'!G132</x:f>
        <x:v>0</x:v>
      </x:c>
      <x:c r="H132" s="18" t="str">
        <x:f>IF($C132="","",IFERROR(VLOOKUP($C132,Matches!$A$2:$Q$200,5,FALSE),"Unknown"))</x:f>
      </x:c>
      <x:c r="I132" s="60" t="str">
        <x:f>IF($C132="","",IFERROR(VLOOKUP($C132,Matches!$A$2:$Q$200,16,FALSE),""))</x:f>
      </x:c>
      <x:c r="J132" s="18" t="str">
        <x:f>IF($C132="","",IFERROR(VLOOKUP($C132,Matches!$A$2:$Q$200,11,FALSE),""))</x:f>
      </x:c>
      <x:c r="K132" s="18" t="str">
        <x:f>IF($C132="","",IFERROR(VLOOKUP($C132,Matches!$A$2:$Q$200,12,FALSE),""))</x:f>
      </x:c>
      <x:c r="L132" s="18" t="str">
        <x:f>IF($A132="","",IF($C132=1,"Yes",IF(OR($I132="",$A132&lt;$I132),"Yes","Late")))</x:f>
      </x:c>
      <x:c r="M132" s="66" t="str">
        <x:f>IF($A132="","",IF($L132&lt;&gt;"Yes",0,IF($E132="",0,IF($J132="",0,IF($H132="Group",IF($E132=$J132,Setup!$H$2,Setup!$H$3),IF($E132=$K132,Setup!$H$2,Setup!$H$3))))))</x:f>
      </x:c>
      <x:c r="N132" s="66" t="str">
        <x:f>IF($A132="","",IF($L132&lt;&gt;"Yes",0,IF(OR($F132="",$G132=""),0,IF(AND($F132=VLOOKUP($C132,Matches!$A$2:$Q$200,9,FALSE),$G132=VLOOKUP($C132,Matches!$A$2:$Q$200,10,FALSE)),Setup!$H$5,0))))</x:f>
      </x:c>
      <x:c r="O132" s="66" t="str">
        <x:f>IF($A132="","",$M132+$N132)</x:f>
      </x:c>
      <x:c r="P132" s="18" t="str">
        <x:f>IF($A132="","",IF($L132="Late","Late - 0 points",IF($J132="","Waiting for result",IF($O132&gt;0,"Scored",IF($O132&lt;0,"Wrong pick","No points")))))</x:f>
      </x:c>
    </x:row>
    <x:row r="133">
      <x:c r="A133" s="60" t="n">
        <x:f>'Form Responses 1'!A133</x:f>
        <x:v>0</x:v>
      </x:c>
      <x:c r="B133" s="18" t="n">
        <x:f>'Form Responses 1'!B133</x:f>
        <x:v>0</x:v>
      </x:c>
      <x:c r="C133" s="18" t="n">
        <x:f>'Form Responses 1'!C133</x:f>
        <x:v>0</x:v>
      </x:c>
      <x:c r="D133" s="18" t="n">
        <x:f>'Form Responses 1'!D133</x:f>
        <x:v>0</x:v>
      </x:c>
      <x:c r="E133" s="18" t="n">
        <x:f>'Form Responses 1'!E133</x:f>
        <x:v>0</x:v>
      </x:c>
      <x:c r="F133" s="18" t="n">
        <x:f>'Form Responses 1'!F133</x:f>
        <x:v>0</x:v>
      </x:c>
      <x:c r="G133" s="18" t="n">
        <x:f>'Form Responses 1'!G133</x:f>
        <x:v>0</x:v>
      </x:c>
      <x:c r="H133" s="18" t="str">
        <x:f>IF($C133="","",IFERROR(VLOOKUP($C133,Matches!$A$2:$Q$200,5,FALSE),"Unknown"))</x:f>
      </x:c>
      <x:c r="I133" s="60" t="str">
        <x:f>IF($C133="","",IFERROR(VLOOKUP($C133,Matches!$A$2:$Q$200,16,FALSE),""))</x:f>
      </x:c>
      <x:c r="J133" s="18" t="str">
        <x:f>IF($C133="","",IFERROR(VLOOKUP($C133,Matches!$A$2:$Q$200,11,FALSE),""))</x:f>
      </x:c>
      <x:c r="K133" s="18" t="str">
        <x:f>IF($C133="","",IFERROR(VLOOKUP($C133,Matches!$A$2:$Q$200,12,FALSE),""))</x:f>
      </x:c>
      <x:c r="L133" s="18" t="str">
        <x:f>IF($A133="","",IF($C133=1,"Yes",IF(OR($I133="",$A133&lt;$I133),"Yes","Late")))</x:f>
      </x:c>
      <x:c r="M133" s="66" t="str">
        <x:f>IF($A133="","",IF($L133&lt;&gt;"Yes",0,IF($E133="",0,IF($J133="",0,IF($H133="Group",IF($E133=$J133,Setup!$H$2,Setup!$H$3),IF($E133=$K133,Setup!$H$2,Setup!$H$3))))))</x:f>
      </x:c>
      <x:c r="N133" s="66" t="str">
        <x:f>IF($A133="","",IF($L133&lt;&gt;"Yes",0,IF(OR($F133="",$G133=""),0,IF(AND($F133=VLOOKUP($C133,Matches!$A$2:$Q$200,9,FALSE),$G133=VLOOKUP($C133,Matches!$A$2:$Q$200,10,FALSE)),Setup!$H$5,0))))</x:f>
      </x:c>
      <x:c r="O133" s="66" t="str">
        <x:f>IF($A133="","",$M133+$N133)</x:f>
      </x:c>
      <x:c r="P133" s="18" t="str">
        <x:f>IF($A133="","",IF($L133="Late","Late - 0 points",IF($J133="","Waiting for result",IF($O133&gt;0,"Scored",IF($O133&lt;0,"Wrong pick","No points")))))</x:f>
      </x:c>
    </x:row>
    <x:row r="134">
      <x:c r="A134" s="60" t="n">
        <x:f>'Form Responses 1'!A134</x:f>
        <x:v>0</x:v>
      </x:c>
      <x:c r="B134" s="18" t="n">
        <x:f>'Form Responses 1'!B134</x:f>
        <x:v>0</x:v>
      </x:c>
      <x:c r="C134" s="18" t="n">
        <x:f>'Form Responses 1'!C134</x:f>
        <x:v>0</x:v>
      </x:c>
      <x:c r="D134" s="18" t="n">
        <x:f>'Form Responses 1'!D134</x:f>
        <x:v>0</x:v>
      </x:c>
      <x:c r="E134" s="18" t="n">
        <x:f>'Form Responses 1'!E134</x:f>
        <x:v>0</x:v>
      </x:c>
      <x:c r="F134" s="18" t="n">
        <x:f>'Form Responses 1'!F134</x:f>
        <x:v>0</x:v>
      </x:c>
      <x:c r="G134" s="18" t="n">
        <x:f>'Form Responses 1'!G134</x:f>
        <x:v>0</x:v>
      </x:c>
      <x:c r="H134" s="18" t="str">
        <x:f>IF($C134="","",IFERROR(VLOOKUP($C134,Matches!$A$2:$Q$200,5,FALSE),"Unknown"))</x:f>
      </x:c>
      <x:c r="I134" s="60" t="str">
        <x:f>IF($C134="","",IFERROR(VLOOKUP($C134,Matches!$A$2:$Q$200,16,FALSE),""))</x:f>
      </x:c>
      <x:c r="J134" s="18" t="str">
        <x:f>IF($C134="","",IFERROR(VLOOKUP($C134,Matches!$A$2:$Q$200,11,FALSE),""))</x:f>
      </x:c>
      <x:c r="K134" s="18" t="str">
        <x:f>IF($C134="","",IFERROR(VLOOKUP($C134,Matches!$A$2:$Q$200,12,FALSE),""))</x:f>
      </x:c>
      <x:c r="L134" s="18" t="str">
        <x:f>IF($A134="","",IF($C134=1,"Yes",IF(OR($I134="",$A134&lt;$I134),"Yes","Late")))</x:f>
      </x:c>
      <x:c r="M134" s="66" t="str">
        <x:f>IF($A134="","",IF($L134&lt;&gt;"Yes",0,IF($E134="",0,IF($J134="",0,IF($H134="Group",IF($E134=$J134,Setup!$H$2,Setup!$H$3),IF($E134=$K134,Setup!$H$2,Setup!$H$3))))))</x:f>
      </x:c>
      <x:c r="N134" s="66" t="str">
        <x:f>IF($A134="","",IF($L134&lt;&gt;"Yes",0,IF(OR($F134="",$G134=""),0,IF(AND($F134=VLOOKUP($C134,Matches!$A$2:$Q$200,9,FALSE),$G134=VLOOKUP($C134,Matches!$A$2:$Q$200,10,FALSE)),Setup!$H$5,0))))</x:f>
      </x:c>
      <x:c r="O134" s="66" t="str">
        <x:f>IF($A134="","",$M134+$N134)</x:f>
      </x:c>
      <x:c r="P134" s="18" t="str">
        <x:f>IF($A134="","",IF($L134="Late","Late - 0 points",IF($J134="","Waiting for result",IF($O134&gt;0,"Scored",IF($O134&lt;0,"Wrong pick","No points")))))</x:f>
      </x:c>
    </x:row>
    <x:row r="135">
      <x:c r="A135" s="60" t="n">
        <x:f>'Form Responses 1'!A135</x:f>
        <x:v>0</x:v>
      </x:c>
      <x:c r="B135" s="18" t="n">
        <x:f>'Form Responses 1'!B135</x:f>
        <x:v>0</x:v>
      </x:c>
      <x:c r="C135" s="18" t="n">
        <x:f>'Form Responses 1'!C135</x:f>
        <x:v>0</x:v>
      </x:c>
      <x:c r="D135" s="18" t="n">
        <x:f>'Form Responses 1'!D135</x:f>
        <x:v>0</x:v>
      </x:c>
      <x:c r="E135" s="18" t="n">
        <x:f>'Form Responses 1'!E135</x:f>
        <x:v>0</x:v>
      </x:c>
      <x:c r="F135" s="18" t="n">
        <x:f>'Form Responses 1'!F135</x:f>
        <x:v>0</x:v>
      </x:c>
      <x:c r="G135" s="18" t="n">
        <x:f>'Form Responses 1'!G135</x:f>
        <x:v>0</x:v>
      </x:c>
      <x:c r="H135" s="18" t="str">
        <x:f>IF($C135="","",IFERROR(VLOOKUP($C135,Matches!$A$2:$Q$200,5,FALSE),"Unknown"))</x:f>
      </x:c>
      <x:c r="I135" s="60" t="str">
        <x:f>IF($C135="","",IFERROR(VLOOKUP($C135,Matches!$A$2:$Q$200,16,FALSE),""))</x:f>
      </x:c>
      <x:c r="J135" s="18" t="str">
        <x:f>IF($C135="","",IFERROR(VLOOKUP($C135,Matches!$A$2:$Q$200,11,FALSE),""))</x:f>
      </x:c>
      <x:c r="K135" s="18" t="str">
        <x:f>IF($C135="","",IFERROR(VLOOKUP($C135,Matches!$A$2:$Q$200,12,FALSE),""))</x:f>
      </x:c>
      <x:c r="L135" s="18" t="str">
        <x:f>IF($A135="","",IF($C135=1,"Yes",IF(OR($I135="",$A135&lt;$I135),"Yes","Late")))</x:f>
      </x:c>
      <x:c r="M135" s="66" t="str">
        <x:f>IF($A135="","",IF($L135&lt;&gt;"Yes",0,IF($E135="",0,IF($J135="",0,IF($H135="Group",IF($E135=$J135,Setup!$H$2,Setup!$H$3),IF($E135=$K135,Setup!$H$2,Setup!$H$3))))))</x:f>
      </x:c>
      <x:c r="N135" s="66" t="str">
        <x:f>IF($A135="","",IF($L135&lt;&gt;"Yes",0,IF(OR($F135="",$G135=""),0,IF(AND($F135=VLOOKUP($C135,Matches!$A$2:$Q$200,9,FALSE),$G135=VLOOKUP($C135,Matches!$A$2:$Q$200,10,FALSE)),Setup!$H$5,0))))</x:f>
      </x:c>
      <x:c r="O135" s="66" t="str">
        <x:f>IF($A135="","",$M135+$N135)</x:f>
      </x:c>
      <x:c r="P135" s="18" t="str">
        <x:f>IF($A135="","",IF($L135="Late","Late - 0 points",IF($J135="","Waiting for result",IF($O135&gt;0,"Scored",IF($O135&lt;0,"Wrong pick","No points")))))</x:f>
      </x:c>
    </x:row>
    <x:row r="136">
      <x:c r="A136" s="60" t="n">
        <x:f>'Form Responses 1'!A136</x:f>
        <x:v>0</x:v>
      </x:c>
      <x:c r="B136" s="18" t="n">
        <x:f>'Form Responses 1'!B136</x:f>
        <x:v>0</x:v>
      </x:c>
      <x:c r="C136" s="18" t="n">
        <x:f>'Form Responses 1'!C136</x:f>
        <x:v>0</x:v>
      </x:c>
      <x:c r="D136" s="18" t="n">
        <x:f>'Form Responses 1'!D136</x:f>
        <x:v>0</x:v>
      </x:c>
      <x:c r="E136" s="18" t="n">
        <x:f>'Form Responses 1'!E136</x:f>
        <x:v>0</x:v>
      </x:c>
      <x:c r="F136" s="18" t="n">
        <x:f>'Form Responses 1'!F136</x:f>
        <x:v>0</x:v>
      </x:c>
      <x:c r="G136" s="18" t="n">
        <x:f>'Form Responses 1'!G136</x:f>
        <x:v>0</x:v>
      </x:c>
      <x:c r="H136" s="18" t="str">
        <x:f>IF($C136="","",IFERROR(VLOOKUP($C136,Matches!$A$2:$Q$200,5,FALSE),"Unknown"))</x:f>
      </x:c>
      <x:c r="I136" s="60" t="str">
        <x:f>IF($C136="","",IFERROR(VLOOKUP($C136,Matches!$A$2:$Q$200,16,FALSE),""))</x:f>
      </x:c>
      <x:c r="J136" s="18" t="str">
        <x:f>IF($C136="","",IFERROR(VLOOKUP($C136,Matches!$A$2:$Q$200,11,FALSE),""))</x:f>
      </x:c>
      <x:c r="K136" s="18" t="str">
        <x:f>IF($C136="","",IFERROR(VLOOKUP($C136,Matches!$A$2:$Q$200,12,FALSE),""))</x:f>
      </x:c>
      <x:c r="L136" s="18" t="str">
        <x:f>IF($A136="","",IF($C136=1,"Yes",IF(OR($I136="",$A136&lt;$I136),"Yes","Late")))</x:f>
      </x:c>
      <x:c r="M136" s="66" t="str">
        <x:f>IF($A136="","",IF($L136&lt;&gt;"Yes",0,IF($E136="",0,IF($J136="",0,IF($H136="Group",IF($E136=$J136,Setup!$H$2,Setup!$H$3),IF($E136=$K136,Setup!$H$2,Setup!$H$3))))))</x:f>
      </x:c>
      <x:c r="N136" s="66" t="str">
        <x:f>IF($A136="","",IF($L136&lt;&gt;"Yes",0,IF(OR($F136="",$G136=""),0,IF(AND($F136=VLOOKUP($C136,Matches!$A$2:$Q$200,9,FALSE),$G136=VLOOKUP($C136,Matches!$A$2:$Q$200,10,FALSE)),Setup!$H$5,0))))</x:f>
      </x:c>
      <x:c r="O136" s="66" t="str">
        <x:f>IF($A136="","",$M136+$N136)</x:f>
      </x:c>
      <x:c r="P136" s="18" t="str">
        <x:f>IF($A136="","",IF($L136="Late","Late - 0 points",IF($J136="","Waiting for result",IF($O136&gt;0,"Scored",IF($O136&lt;0,"Wrong pick","No points")))))</x:f>
      </x:c>
    </x:row>
    <x:row r="137">
      <x:c r="A137" s="60" t="n">
        <x:f>'Form Responses 1'!A137</x:f>
        <x:v>0</x:v>
      </x:c>
      <x:c r="B137" s="18" t="n">
        <x:f>'Form Responses 1'!B137</x:f>
        <x:v>0</x:v>
      </x:c>
      <x:c r="C137" s="18" t="n">
        <x:f>'Form Responses 1'!C137</x:f>
        <x:v>0</x:v>
      </x:c>
      <x:c r="D137" s="18" t="n">
        <x:f>'Form Responses 1'!D137</x:f>
        <x:v>0</x:v>
      </x:c>
      <x:c r="E137" s="18" t="n">
        <x:f>'Form Responses 1'!E137</x:f>
        <x:v>0</x:v>
      </x:c>
      <x:c r="F137" s="18" t="n">
        <x:f>'Form Responses 1'!F137</x:f>
        <x:v>0</x:v>
      </x:c>
      <x:c r="G137" s="18" t="n">
        <x:f>'Form Responses 1'!G137</x:f>
        <x:v>0</x:v>
      </x:c>
      <x:c r="H137" s="18" t="str">
        <x:f>IF($C137="","",IFERROR(VLOOKUP($C137,Matches!$A$2:$Q$200,5,FALSE),"Unknown"))</x:f>
      </x:c>
      <x:c r="I137" s="60" t="str">
        <x:f>IF($C137="","",IFERROR(VLOOKUP($C137,Matches!$A$2:$Q$200,16,FALSE),""))</x:f>
      </x:c>
      <x:c r="J137" s="18" t="str">
        <x:f>IF($C137="","",IFERROR(VLOOKUP($C137,Matches!$A$2:$Q$200,11,FALSE),""))</x:f>
      </x:c>
      <x:c r="K137" s="18" t="str">
        <x:f>IF($C137="","",IFERROR(VLOOKUP($C137,Matches!$A$2:$Q$200,12,FALSE),""))</x:f>
      </x:c>
      <x:c r="L137" s="18" t="str">
        <x:f>IF($A137="","",IF($C137=1,"Yes",IF(OR($I137="",$A137&lt;$I137),"Yes","Late")))</x:f>
      </x:c>
      <x:c r="M137" s="66" t="str">
        <x:f>IF($A137="","",IF($L137&lt;&gt;"Yes",0,IF($E137="",0,IF($J137="",0,IF($H137="Group",IF($E137=$J137,Setup!$H$2,Setup!$H$3),IF($E137=$K137,Setup!$H$2,Setup!$H$3))))))</x:f>
      </x:c>
      <x:c r="N137" s="66" t="str">
        <x:f>IF($A137="","",IF($L137&lt;&gt;"Yes",0,IF(OR($F137="",$G137=""),0,IF(AND($F137=VLOOKUP($C137,Matches!$A$2:$Q$200,9,FALSE),$G137=VLOOKUP($C137,Matches!$A$2:$Q$200,10,FALSE)),Setup!$H$5,0))))</x:f>
      </x:c>
      <x:c r="O137" s="66" t="str">
        <x:f>IF($A137="","",$M137+$N137)</x:f>
      </x:c>
      <x:c r="P137" s="18" t="str">
        <x:f>IF($A137="","",IF($L137="Late","Late - 0 points",IF($J137="","Waiting for result",IF($O137&gt;0,"Scored",IF($O137&lt;0,"Wrong pick","No points")))))</x:f>
      </x:c>
    </x:row>
    <x:row r="138">
      <x:c r="A138" s="60" t="n">
        <x:f>'Form Responses 1'!A138</x:f>
        <x:v>0</x:v>
      </x:c>
      <x:c r="B138" s="18" t="n">
        <x:f>'Form Responses 1'!B138</x:f>
        <x:v>0</x:v>
      </x:c>
      <x:c r="C138" s="18" t="n">
        <x:f>'Form Responses 1'!C138</x:f>
        <x:v>0</x:v>
      </x:c>
      <x:c r="D138" s="18" t="n">
        <x:f>'Form Responses 1'!D138</x:f>
        <x:v>0</x:v>
      </x:c>
      <x:c r="E138" s="18" t="n">
        <x:f>'Form Responses 1'!E138</x:f>
        <x:v>0</x:v>
      </x:c>
      <x:c r="F138" s="18" t="n">
        <x:f>'Form Responses 1'!F138</x:f>
        <x:v>0</x:v>
      </x:c>
      <x:c r="G138" s="18" t="n">
        <x:f>'Form Responses 1'!G138</x:f>
        <x:v>0</x:v>
      </x:c>
      <x:c r="H138" s="18" t="str">
        <x:f>IF($C138="","",IFERROR(VLOOKUP($C138,Matches!$A$2:$Q$200,5,FALSE),"Unknown"))</x:f>
      </x:c>
      <x:c r="I138" s="60" t="str">
        <x:f>IF($C138="","",IFERROR(VLOOKUP($C138,Matches!$A$2:$Q$200,16,FALSE),""))</x:f>
      </x:c>
      <x:c r="J138" s="18" t="str">
        <x:f>IF($C138="","",IFERROR(VLOOKUP($C138,Matches!$A$2:$Q$200,11,FALSE),""))</x:f>
      </x:c>
      <x:c r="K138" s="18" t="str">
        <x:f>IF($C138="","",IFERROR(VLOOKUP($C138,Matches!$A$2:$Q$200,12,FALSE),""))</x:f>
      </x:c>
      <x:c r="L138" s="18" t="str">
        <x:f>IF($A138="","",IF($C138=1,"Yes",IF(OR($I138="",$A138&lt;$I138),"Yes","Late")))</x:f>
      </x:c>
      <x:c r="M138" s="66" t="str">
        <x:f>IF($A138="","",IF($L138&lt;&gt;"Yes",0,IF($E138="",0,IF($J138="",0,IF($H138="Group",IF($E138=$J138,Setup!$H$2,Setup!$H$3),IF($E138=$K138,Setup!$H$2,Setup!$H$3))))))</x:f>
      </x:c>
      <x:c r="N138" s="66" t="str">
        <x:f>IF($A138="","",IF($L138&lt;&gt;"Yes",0,IF(OR($F138="",$G138=""),0,IF(AND($F138=VLOOKUP($C138,Matches!$A$2:$Q$200,9,FALSE),$G138=VLOOKUP($C138,Matches!$A$2:$Q$200,10,FALSE)),Setup!$H$5,0))))</x:f>
      </x:c>
      <x:c r="O138" s="66" t="str">
        <x:f>IF($A138="","",$M138+$N138)</x:f>
      </x:c>
      <x:c r="P138" s="18" t="str">
        <x:f>IF($A138="","",IF($L138="Late","Late - 0 points",IF($J138="","Waiting for result",IF($O138&gt;0,"Scored",IF($O138&lt;0,"Wrong pick","No points")))))</x:f>
      </x:c>
    </x:row>
    <x:row r="139">
      <x:c r="A139" s="60" t="n">
        <x:f>'Form Responses 1'!A139</x:f>
        <x:v>0</x:v>
      </x:c>
      <x:c r="B139" s="18" t="n">
        <x:f>'Form Responses 1'!B139</x:f>
        <x:v>0</x:v>
      </x:c>
      <x:c r="C139" s="18" t="n">
        <x:f>'Form Responses 1'!C139</x:f>
        <x:v>0</x:v>
      </x:c>
      <x:c r="D139" s="18" t="n">
        <x:f>'Form Responses 1'!D139</x:f>
        <x:v>0</x:v>
      </x:c>
      <x:c r="E139" s="18" t="n">
        <x:f>'Form Responses 1'!E139</x:f>
        <x:v>0</x:v>
      </x:c>
      <x:c r="F139" s="18" t="n">
        <x:f>'Form Responses 1'!F139</x:f>
        <x:v>0</x:v>
      </x:c>
      <x:c r="G139" s="18" t="n">
        <x:f>'Form Responses 1'!G139</x:f>
        <x:v>0</x:v>
      </x:c>
      <x:c r="H139" s="18" t="str">
        <x:f>IF($C139="","",IFERROR(VLOOKUP($C139,Matches!$A$2:$Q$200,5,FALSE),"Unknown"))</x:f>
      </x:c>
      <x:c r="I139" s="60" t="str">
        <x:f>IF($C139="","",IFERROR(VLOOKUP($C139,Matches!$A$2:$Q$200,16,FALSE),""))</x:f>
      </x:c>
      <x:c r="J139" s="18" t="str">
        <x:f>IF($C139="","",IFERROR(VLOOKUP($C139,Matches!$A$2:$Q$200,11,FALSE),""))</x:f>
      </x:c>
      <x:c r="K139" s="18" t="str">
        <x:f>IF($C139="","",IFERROR(VLOOKUP($C139,Matches!$A$2:$Q$200,12,FALSE),""))</x:f>
      </x:c>
      <x:c r="L139" s="18" t="str">
        <x:f>IF($A139="","",IF($C139=1,"Yes",IF(OR($I139="",$A139&lt;$I139),"Yes","Late")))</x:f>
      </x:c>
      <x:c r="M139" s="66" t="str">
        <x:f>IF($A139="","",IF($L139&lt;&gt;"Yes",0,IF($E139="",0,IF($J139="",0,IF($H139="Group",IF($E139=$J139,Setup!$H$2,Setup!$H$3),IF($E139=$K139,Setup!$H$2,Setup!$H$3))))))</x:f>
      </x:c>
      <x:c r="N139" s="66" t="str">
        <x:f>IF($A139="","",IF($L139&lt;&gt;"Yes",0,IF(OR($F139="",$G139=""),0,IF(AND($F139=VLOOKUP($C139,Matches!$A$2:$Q$200,9,FALSE),$G139=VLOOKUP($C139,Matches!$A$2:$Q$200,10,FALSE)),Setup!$H$5,0))))</x:f>
      </x:c>
      <x:c r="O139" s="66" t="str">
        <x:f>IF($A139="","",$M139+$N139)</x:f>
      </x:c>
      <x:c r="P139" s="18" t="str">
        <x:f>IF($A139="","",IF($L139="Late","Late - 0 points",IF($J139="","Waiting for result",IF($O139&gt;0,"Scored",IF($O139&lt;0,"Wrong pick","No points")))))</x:f>
      </x:c>
    </x:row>
    <x:row r="140">
      <x:c r="A140" s="60" t="n">
        <x:f>'Form Responses 1'!A140</x:f>
        <x:v>0</x:v>
      </x:c>
      <x:c r="B140" s="18" t="n">
        <x:f>'Form Responses 1'!B140</x:f>
        <x:v>0</x:v>
      </x:c>
      <x:c r="C140" s="18" t="n">
        <x:f>'Form Responses 1'!C140</x:f>
        <x:v>0</x:v>
      </x:c>
      <x:c r="D140" s="18" t="n">
        <x:f>'Form Responses 1'!D140</x:f>
        <x:v>0</x:v>
      </x:c>
      <x:c r="E140" s="18" t="n">
        <x:f>'Form Responses 1'!E140</x:f>
        <x:v>0</x:v>
      </x:c>
      <x:c r="F140" s="18" t="n">
        <x:f>'Form Responses 1'!F140</x:f>
        <x:v>0</x:v>
      </x:c>
      <x:c r="G140" s="18" t="n">
        <x:f>'Form Responses 1'!G140</x:f>
        <x:v>0</x:v>
      </x:c>
      <x:c r="H140" s="18" t="str">
        <x:f>IF($C140="","",IFERROR(VLOOKUP($C140,Matches!$A$2:$Q$200,5,FALSE),"Unknown"))</x:f>
      </x:c>
      <x:c r="I140" s="60" t="str">
        <x:f>IF($C140="","",IFERROR(VLOOKUP($C140,Matches!$A$2:$Q$200,16,FALSE),""))</x:f>
      </x:c>
      <x:c r="J140" s="18" t="str">
        <x:f>IF($C140="","",IFERROR(VLOOKUP($C140,Matches!$A$2:$Q$200,11,FALSE),""))</x:f>
      </x:c>
      <x:c r="K140" s="18" t="str">
        <x:f>IF($C140="","",IFERROR(VLOOKUP($C140,Matches!$A$2:$Q$200,12,FALSE),""))</x:f>
      </x:c>
      <x:c r="L140" s="18" t="str">
        <x:f>IF($A140="","",IF($C140=1,"Yes",IF(OR($I140="",$A140&lt;$I140),"Yes","Late")))</x:f>
      </x:c>
      <x:c r="M140" s="66" t="str">
        <x:f>IF($A140="","",IF($L140&lt;&gt;"Yes",0,IF($E140="",0,IF($J140="",0,IF($H140="Group",IF($E140=$J140,Setup!$H$2,Setup!$H$3),IF($E140=$K140,Setup!$H$2,Setup!$H$3))))))</x:f>
      </x:c>
      <x:c r="N140" s="66" t="str">
        <x:f>IF($A140="","",IF($L140&lt;&gt;"Yes",0,IF(OR($F140="",$G140=""),0,IF(AND($F140=VLOOKUP($C140,Matches!$A$2:$Q$200,9,FALSE),$G140=VLOOKUP($C140,Matches!$A$2:$Q$200,10,FALSE)),Setup!$H$5,0))))</x:f>
      </x:c>
      <x:c r="O140" s="66" t="str">
        <x:f>IF($A140="","",$M140+$N140)</x:f>
      </x:c>
      <x:c r="P140" s="18" t="str">
        <x:f>IF($A140="","",IF($L140="Late","Late - 0 points",IF($J140="","Waiting for result",IF($O140&gt;0,"Scored",IF($O140&lt;0,"Wrong pick","No points")))))</x:f>
      </x:c>
    </x:row>
    <x:row r="141">
      <x:c r="A141" s="60" t="n">
        <x:f>'Form Responses 1'!A141</x:f>
        <x:v>0</x:v>
      </x:c>
      <x:c r="B141" s="18" t="n">
        <x:f>'Form Responses 1'!B141</x:f>
        <x:v>0</x:v>
      </x:c>
      <x:c r="C141" s="18" t="n">
        <x:f>'Form Responses 1'!C141</x:f>
        <x:v>0</x:v>
      </x:c>
      <x:c r="D141" s="18" t="n">
        <x:f>'Form Responses 1'!D141</x:f>
        <x:v>0</x:v>
      </x:c>
      <x:c r="E141" s="18" t="n">
        <x:f>'Form Responses 1'!E141</x:f>
        <x:v>0</x:v>
      </x:c>
      <x:c r="F141" s="18" t="n">
        <x:f>'Form Responses 1'!F141</x:f>
        <x:v>0</x:v>
      </x:c>
      <x:c r="G141" s="18" t="n">
        <x:f>'Form Responses 1'!G141</x:f>
        <x:v>0</x:v>
      </x:c>
      <x:c r="H141" s="18" t="str">
        <x:f>IF($C141="","",IFERROR(VLOOKUP($C141,Matches!$A$2:$Q$200,5,FALSE),"Unknown"))</x:f>
      </x:c>
      <x:c r="I141" s="60" t="str">
        <x:f>IF($C141="","",IFERROR(VLOOKUP($C141,Matches!$A$2:$Q$200,16,FALSE),""))</x:f>
      </x:c>
      <x:c r="J141" s="18" t="str">
        <x:f>IF($C141="","",IFERROR(VLOOKUP($C141,Matches!$A$2:$Q$200,11,FALSE),""))</x:f>
      </x:c>
      <x:c r="K141" s="18" t="str">
        <x:f>IF($C141="","",IFERROR(VLOOKUP($C141,Matches!$A$2:$Q$200,12,FALSE),""))</x:f>
      </x:c>
      <x:c r="L141" s="18" t="str">
        <x:f>IF($A141="","",IF($C141=1,"Yes",IF(OR($I141="",$A141&lt;$I141),"Yes","Late")))</x:f>
      </x:c>
      <x:c r="M141" s="66" t="str">
        <x:f>IF($A141="","",IF($L141&lt;&gt;"Yes",0,IF($E141="",0,IF($J141="",0,IF($H141="Group",IF($E141=$J141,Setup!$H$2,Setup!$H$3),IF($E141=$K141,Setup!$H$2,Setup!$H$3))))))</x:f>
      </x:c>
      <x:c r="N141" s="66" t="str">
        <x:f>IF($A141="","",IF($L141&lt;&gt;"Yes",0,IF(OR($F141="",$G141=""),0,IF(AND($F141=VLOOKUP($C141,Matches!$A$2:$Q$200,9,FALSE),$G141=VLOOKUP($C141,Matches!$A$2:$Q$200,10,FALSE)),Setup!$H$5,0))))</x:f>
      </x:c>
      <x:c r="O141" s="66" t="str">
        <x:f>IF($A141="","",$M141+$N141)</x:f>
      </x:c>
      <x:c r="P141" s="18" t="str">
        <x:f>IF($A141="","",IF($L141="Late","Late - 0 points",IF($J141="","Waiting for result",IF($O141&gt;0,"Scored",IF($O141&lt;0,"Wrong pick","No points")))))</x:f>
      </x:c>
    </x:row>
    <x:row r="142">
      <x:c r="A142" s="60" t="n">
        <x:f>'Form Responses 1'!A142</x:f>
        <x:v>0</x:v>
      </x:c>
      <x:c r="B142" s="18" t="n">
        <x:f>'Form Responses 1'!B142</x:f>
        <x:v>0</x:v>
      </x:c>
      <x:c r="C142" s="18" t="n">
        <x:f>'Form Responses 1'!C142</x:f>
        <x:v>0</x:v>
      </x:c>
      <x:c r="D142" s="18" t="n">
        <x:f>'Form Responses 1'!D142</x:f>
        <x:v>0</x:v>
      </x:c>
      <x:c r="E142" s="18" t="n">
        <x:f>'Form Responses 1'!E142</x:f>
        <x:v>0</x:v>
      </x:c>
      <x:c r="F142" s="18" t="n">
        <x:f>'Form Responses 1'!F142</x:f>
        <x:v>0</x:v>
      </x:c>
      <x:c r="G142" s="18" t="n">
        <x:f>'Form Responses 1'!G142</x:f>
        <x:v>0</x:v>
      </x:c>
      <x:c r="H142" s="18" t="str">
        <x:f>IF($C142="","",IFERROR(VLOOKUP($C142,Matches!$A$2:$Q$200,5,FALSE),"Unknown"))</x:f>
      </x:c>
      <x:c r="I142" s="60" t="str">
        <x:f>IF($C142="","",IFERROR(VLOOKUP($C142,Matches!$A$2:$Q$200,16,FALSE),""))</x:f>
      </x:c>
      <x:c r="J142" s="18" t="str">
        <x:f>IF($C142="","",IFERROR(VLOOKUP($C142,Matches!$A$2:$Q$200,11,FALSE),""))</x:f>
      </x:c>
      <x:c r="K142" s="18" t="str">
        <x:f>IF($C142="","",IFERROR(VLOOKUP($C142,Matches!$A$2:$Q$200,12,FALSE),""))</x:f>
      </x:c>
      <x:c r="L142" s="18" t="str">
        <x:f>IF($A142="","",IF($C142=1,"Yes",IF(OR($I142="",$A142&lt;$I142),"Yes","Late")))</x:f>
      </x:c>
      <x:c r="M142" s="66" t="str">
        <x:f>IF($A142="","",IF($L142&lt;&gt;"Yes",0,IF($E142="",0,IF($J142="",0,IF($H142="Group",IF($E142=$J142,Setup!$H$2,Setup!$H$3),IF($E142=$K142,Setup!$H$2,Setup!$H$3))))))</x:f>
      </x:c>
      <x:c r="N142" s="66" t="str">
        <x:f>IF($A142="","",IF($L142&lt;&gt;"Yes",0,IF(OR($F142="",$G142=""),0,IF(AND($F142=VLOOKUP($C142,Matches!$A$2:$Q$200,9,FALSE),$G142=VLOOKUP($C142,Matches!$A$2:$Q$200,10,FALSE)),Setup!$H$5,0))))</x:f>
      </x:c>
      <x:c r="O142" s="66" t="str">
        <x:f>IF($A142="","",$M142+$N142)</x:f>
      </x:c>
      <x:c r="P142" s="18" t="str">
        <x:f>IF($A142="","",IF($L142="Late","Late - 0 points",IF($J142="","Waiting for result",IF($O142&gt;0,"Scored",IF($O142&lt;0,"Wrong pick","No points")))))</x:f>
      </x:c>
    </x:row>
    <x:row r="143">
      <x:c r="A143" s="60" t="n">
        <x:f>'Form Responses 1'!A143</x:f>
        <x:v>0</x:v>
      </x:c>
      <x:c r="B143" s="18" t="n">
        <x:f>'Form Responses 1'!B143</x:f>
        <x:v>0</x:v>
      </x:c>
      <x:c r="C143" s="18" t="n">
        <x:f>'Form Responses 1'!C143</x:f>
        <x:v>0</x:v>
      </x:c>
      <x:c r="D143" s="18" t="n">
        <x:f>'Form Responses 1'!D143</x:f>
        <x:v>0</x:v>
      </x:c>
      <x:c r="E143" s="18" t="n">
        <x:f>'Form Responses 1'!E143</x:f>
        <x:v>0</x:v>
      </x:c>
      <x:c r="F143" s="18" t="n">
        <x:f>'Form Responses 1'!F143</x:f>
        <x:v>0</x:v>
      </x:c>
      <x:c r="G143" s="18" t="n">
        <x:f>'Form Responses 1'!G143</x:f>
        <x:v>0</x:v>
      </x:c>
      <x:c r="H143" s="18" t="str">
        <x:f>IF($C143="","",IFERROR(VLOOKUP($C143,Matches!$A$2:$Q$200,5,FALSE),"Unknown"))</x:f>
      </x:c>
      <x:c r="I143" s="60" t="str">
        <x:f>IF($C143="","",IFERROR(VLOOKUP($C143,Matches!$A$2:$Q$200,16,FALSE),""))</x:f>
      </x:c>
      <x:c r="J143" s="18" t="str">
        <x:f>IF($C143="","",IFERROR(VLOOKUP($C143,Matches!$A$2:$Q$200,11,FALSE),""))</x:f>
      </x:c>
      <x:c r="K143" s="18" t="str">
        <x:f>IF($C143="","",IFERROR(VLOOKUP($C143,Matches!$A$2:$Q$200,12,FALSE),""))</x:f>
      </x:c>
      <x:c r="L143" s="18" t="str">
        <x:f>IF($A143="","",IF($C143=1,"Yes",IF(OR($I143="",$A143&lt;$I143),"Yes","Late")))</x:f>
      </x:c>
      <x:c r="M143" s="66" t="str">
        <x:f>IF($A143="","",IF($L143&lt;&gt;"Yes",0,IF($E143="",0,IF($J143="",0,IF($H143="Group",IF($E143=$J143,Setup!$H$2,Setup!$H$3),IF($E143=$K143,Setup!$H$2,Setup!$H$3))))))</x:f>
      </x:c>
      <x:c r="N143" s="66" t="str">
        <x:f>IF($A143="","",IF($L143&lt;&gt;"Yes",0,IF(OR($F143="",$G143=""),0,IF(AND($F143=VLOOKUP($C143,Matches!$A$2:$Q$200,9,FALSE),$G143=VLOOKUP($C143,Matches!$A$2:$Q$200,10,FALSE)),Setup!$H$5,0))))</x:f>
      </x:c>
      <x:c r="O143" s="66" t="str">
        <x:f>IF($A143="","",$M143+$N143)</x:f>
      </x:c>
      <x:c r="P143" s="18" t="str">
        <x:f>IF($A143="","",IF($L143="Late","Late - 0 points",IF($J143="","Waiting for result",IF($O143&gt;0,"Scored",IF($O143&lt;0,"Wrong pick","No points")))))</x:f>
      </x:c>
    </x:row>
    <x:row r="144">
      <x:c r="A144" s="60" t="n">
        <x:f>'Form Responses 1'!A144</x:f>
        <x:v>0</x:v>
      </x:c>
      <x:c r="B144" s="18" t="n">
        <x:f>'Form Responses 1'!B144</x:f>
        <x:v>0</x:v>
      </x:c>
      <x:c r="C144" s="18" t="n">
        <x:f>'Form Responses 1'!C144</x:f>
        <x:v>0</x:v>
      </x:c>
      <x:c r="D144" s="18" t="n">
        <x:f>'Form Responses 1'!D144</x:f>
        <x:v>0</x:v>
      </x:c>
      <x:c r="E144" s="18" t="n">
        <x:f>'Form Responses 1'!E144</x:f>
        <x:v>0</x:v>
      </x:c>
      <x:c r="F144" s="18" t="n">
        <x:f>'Form Responses 1'!F144</x:f>
        <x:v>0</x:v>
      </x:c>
      <x:c r="G144" s="18" t="n">
        <x:f>'Form Responses 1'!G144</x:f>
        <x:v>0</x:v>
      </x:c>
      <x:c r="H144" s="18" t="str">
        <x:f>IF($C144="","",IFERROR(VLOOKUP($C144,Matches!$A$2:$Q$200,5,FALSE),"Unknown"))</x:f>
      </x:c>
      <x:c r="I144" s="60" t="str">
        <x:f>IF($C144="","",IFERROR(VLOOKUP($C144,Matches!$A$2:$Q$200,16,FALSE),""))</x:f>
      </x:c>
      <x:c r="J144" s="18" t="str">
        <x:f>IF($C144="","",IFERROR(VLOOKUP($C144,Matches!$A$2:$Q$200,11,FALSE),""))</x:f>
      </x:c>
      <x:c r="K144" s="18" t="str">
        <x:f>IF($C144="","",IFERROR(VLOOKUP($C144,Matches!$A$2:$Q$200,12,FALSE),""))</x:f>
      </x:c>
      <x:c r="L144" s="18" t="str">
        <x:f>IF($A144="","",IF($C144=1,"Yes",IF(OR($I144="",$A144&lt;$I144),"Yes","Late")))</x:f>
      </x:c>
      <x:c r="M144" s="66" t="str">
        <x:f>IF($A144="","",IF($L144&lt;&gt;"Yes",0,IF($E144="",0,IF($J144="",0,IF($H144="Group",IF($E144=$J144,Setup!$H$2,Setup!$H$3),IF($E144=$K144,Setup!$H$2,Setup!$H$3))))))</x:f>
      </x:c>
      <x:c r="N144" s="66" t="str">
        <x:f>IF($A144="","",IF($L144&lt;&gt;"Yes",0,IF(OR($F144="",$G144=""),0,IF(AND($F144=VLOOKUP($C144,Matches!$A$2:$Q$200,9,FALSE),$G144=VLOOKUP($C144,Matches!$A$2:$Q$200,10,FALSE)),Setup!$H$5,0))))</x:f>
      </x:c>
      <x:c r="O144" s="66" t="str">
        <x:f>IF($A144="","",$M144+$N144)</x:f>
      </x:c>
      <x:c r="P144" s="18" t="str">
        <x:f>IF($A144="","",IF($L144="Late","Late - 0 points",IF($J144="","Waiting for result",IF($O144&gt;0,"Scored",IF($O144&lt;0,"Wrong pick","No points")))))</x:f>
      </x:c>
    </x:row>
    <x:row r="145">
      <x:c r="A145" s="60" t="n">
        <x:f>'Form Responses 1'!A145</x:f>
        <x:v>0</x:v>
      </x:c>
      <x:c r="B145" s="18" t="n">
        <x:f>'Form Responses 1'!B145</x:f>
        <x:v>0</x:v>
      </x:c>
      <x:c r="C145" s="18" t="n">
        <x:f>'Form Responses 1'!C145</x:f>
        <x:v>0</x:v>
      </x:c>
      <x:c r="D145" s="18" t="n">
        <x:f>'Form Responses 1'!D145</x:f>
        <x:v>0</x:v>
      </x:c>
      <x:c r="E145" s="18" t="n">
        <x:f>'Form Responses 1'!E145</x:f>
        <x:v>0</x:v>
      </x:c>
      <x:c r="F145" s="18" t="n">
        <x:f>'Form Responses 1'!F145</x:f>
        <x:v>0</x:v>
      </x:c>
      <x:c r="G145" s="18" t="n">
        <x:f>'Form Responses 1'!G145</x:f>
        <x:v>0</x:v>
      </x:c>
      <x:c r="H145" s="18" t="str">
        <x:f>IF($C145="","",IFERROR(VLOOKUP($C145,Matches!$A$2:$Q$200,5,FALSE),"Unknown"))</x:f>
      </x:c>
      <x:c r="I145" s="60" t="str">
        <x:f>IF($C145="","",IFERROR(VLOOKUP($C145,Matches!$A$2:$Q$200,16,FALSE),""))</x:f>
      </x:c>
      <x:c r="J145" s="18" t="str">
        <x:f>IF($C145="","",IFERROR(VLOOKUP($C145,Matches!$A$2:$Q$200,11,FALSE),""))</x:f>
      </x:c>
      <x:c r="K145" s="18" t="str">
        <x:f>IF($C145="","",IFERROR(VLOOKUP($C145,Matches!$A$2:$Q$200,12,FALSE),""))</x:f>
      </x:c>
      <x:c r="L145" s="18" t="str">
        <x:f>IF($A145="","",IF($C145=1,"Yes",IF(OR($I145="",$A145&lt;$I145),"Yes","Late")))</x:f>
      </x:c>
      <x:c r="M145" s="66" t="str">
        <x:f>IF($A145="","",IF($L145&lt;&gt;"Yes",0,IF($E145="",0,IF($J145="",0,IF($H145="Group",IF($E145=$J145,Setup!$H$2,Setup!$H$3),IF($E145=$K145,Setup!$H$2,Setup!$H$3))))))</x:f>
      </x:c>
      <x:c r="N145" s="66" t="str">
        <x:f>IF($A145="","",IF($L145&lt;&gt;"Yes",0,IF(OR($F145="",$G145=""),0,IF(AND($F145=VLOOKUP($C145,Matches!$A$2:$Q$200,9,FALSE),$G145=VLOOKUP($C145,Matches!$A$2:$Q$200,10,FALSE)),Setup!$H$5,0))))</x:f>
      </x:c>
      <x:c r="O145" s="66" t="str">
        <x:f>IF($A145="","",$M145+$N145)</x:f>
      </x:c>
      <x:c r="P145" s="18" t="str">
        <x:f>IF($A145="","",IF($L145="Late","Late - 0 points",IF($J145="","Waiting for result",IF($O145&gt;0,"Scored",IF($O145&lt;0,"Wrong pick","No points")))))</x:f>
      </x:c>
    </x:row>
    <x:row r="146">
      <x:c r="A146" s="60" t="n">
        <x:f>'Form Responses 1'!A146</x:f>
        <x:v>0</x:v>
      </x:c>
      <x:c r="B146" s="18" t="n">
        <x:f>'Form Responses 1'!B146</x:f>
        <x:v>0</x:v>
      </x:c>
      <x:c r="C146" s="18" t="n">
        <x:f>'Form Responses 1'!C146</x:f>
        <x:v>0</x:v>
      </x:c>
      <x:c r="D146" s="18" t="n">
        <x:f>'Form Responses 1'!D146</x:f>
        <x:v>0</x:v>
      </x:c>
      <x:c r="E146" s="18" t="n">
        <x:f>'Form Responses 1'!E146</x:f>
        <x:v>0</x:v>
      </x:c>
      <x:c r="F146" s="18" t="n">
        <x:f>'Form Responses 1'!F146</x:f>
        <x:v>0</x:v>
      </x:c>
      <x:c r="G146" s="18" t="n">
        <x:f>'Form Responses 1'!G146</x:f>
        <x:v>0</x:v>
      </x:c>
      <x:c r="H146" s="18" t="str">
        <x:f>IF($C146="","",IFERROR(VLOOKUP($C146,Matches!$A$2:$Q$200,5,FALSE),"Unknown"))</x:f>
      </x:c>
      <x:c r="I146" s="60" t="str">
        <x:f>IF($C146="","",IFERROR(VLOOKUP($C146,Matches!$A$2:$Q$200,16,FALSE),""))</x:f>
      </x:c>
      <x:c r="J146" s="18" t="str">
        <x:f>IF($C146="","",IFERROR(VLOOKUP($C146,Matches!$A$2:$Q$200,11,FALSE),""))</x:f>
      </x:c>
      <x:c r="K146" s="18" t="str">
        <x:f>IF($C146="","",IFERROR(VLOOKUP($C146,Matches!$A$2:$Q$200,12,FALSE),""))</x:f>
      </x:c>
      <x:c r="L146" s="18" t="str">
        <x:f>IF($A146="","",IF($C146=1,"Yes",IF(OR($I146="",$A146&lt;$I146),"Yes","Late")))</x:f>
      </x:c>
      <x:c r="M146" s="66" t="str">
        <x:f>IF($A146="","",IF($L146&lt;&gt;"Yes",0,IF($E146="",0,IF($J146="",0,IF($H146="Group",IF($E146=$J146,Setup!$H$2,Setup!$H$3),IF($E146=$K146,Setup!$H$2,Setup!$H$3))))))</x:f>
      </x:c>
      <x:c r="N146" s="66" t="str">
        <x:f>IF($A146="","",IF($L146&lt;&gt;"Yes",0,IF(OR($F146="",$G146=""),0,IF(AND($F146=VLOOKUP($C146,Matches!$A$2:$Q$200,9,FALSE),$G146=VLOOKUP($C146,Matches!$A$2:$Q$200,10,FALSE)),Setup!$H$5,0))))</x:f>
      </x:c>
      <x:c r="O146" s="66" t="str">
        <x:f>IF($A146="","",$M146+$N146)</x:f>
      </x:c>
      <x:c r="P146" s="18" t="str">
        <x:f>IF($A146="","",IF($L146="Late","Late - 0 points",IF($J146="","Waiting for result",IF($O146&gt;0,"Scored",IF($O146&lt;0,"Wrong pick","No points")))))</x:f>
      </x:c>
    </x:row>
    <x:row r="147">
      <x:c r="A147" s="60" t="n">
        <x:f>'Form Responses 1'!A147</x:f>
        <x:v>0</x:v>
      </x:c>
      <x:c r="B147" s="18" t="n">
        <x:f>'Form Responses 1'!B147</x:f>
        <x:v>0</x:v>
      </x:c>
      <x:c r="C147" s="18" t="n">
        <x:f>'Form Responses 1'!C147</x:f>
        <x:v>0</x:v>
      </x:c>
      <x:c r="D147" s="18" t="n">
        <x:f>'Form Responses 1'!D147</x:f>
        <x:v>0</x:v>
      </x:c>
      <x:c r="E147" s="18" t="n">
        <x:f>'Form Responses 1'!E147</x:f>
        <x:v>0</x:v>
      </x:c>
      <x:c r="F147" s="18" t="n">
        <x:f>'Form Responses 1'!F147</x:f>
        <x:v>0</x:v>
      </x:c>
      <x:c r="G147" s="18" t="n">
        <x:f>'Form Responses 1'!G147</x:f>
        <x:v>0</x:v>
      </x:c>
      <x:c r="H147" s="18" t="str">
        <x:f>IF($C147="","",IFERROR(VLOOKUP($C147,Matches!$A$2:$Q$200,5,FALSE),"Unknown"))</x:f>
      </x:c>
      <x:c r="I147" s="60" t="str">
        <x:f>IF($C147="","",IFERROR(VLOOKUP($C147,Matches!$A$2:$Q$200,16,FALSE),""))</x:f>
      </x:c>
      <x:c r="J147" s="18" t="str">
        <x:f>IF($C147="","",IFERROR(VLOOKUP($C147,Matches!$A$2:$Q$200,11,FALSE),""))</x:f>
      </x:c>
      <x:c r="K147" s="18" t="str">
        <x:f>IF($C147="","",IFERROR(VLOOKUP($C147,Matches!$A$2:$Q$200,12,FALSE),""))</x:f>
      </x:c>
      <x:c r="L147" s="18" t="str">
        <x:f>IF($A147="","",IF($C147=1,"Yes",IF(OR($I147="",$A147&lt;$I147),"Yes","Late")))</x:f>
      </x:c>
      <x:c r="M147" s="66" t="str">
        <x:f>IF($A147="","",IF($L147&lt;&gt;"Yes",0,IF($E147="",0,IF($J147="",0,IF($H147="Group",IF($E147=$J147,Setup!$H$2,Setup!$H$3),IF($E147=$K147,Setup!$H$2,Setup!$H$3))))))</x:f>
      </x:c>
      <x:c r="N147" s="66" t="str">
        <x:f>IF($A147="","",IF($L147&lt;&gt;"Yes",0,IF(OR($F147="",$G147=""),0,IF(AND($F147=VLOOKUP($C147,Matches!$A$2:$Q$200,9,FALSE),$G147=VLOOKUP($C147,Matches!$A$2:$Q$200,10,FALSE)),Setup!$H$5,0))))</x:f>
      </x:c>
      <x:c r="O147" s="66" t="str">
        <x:f>IF($A147="","",$M147+$N147)</x:f>
      </x:c>
      <x:c r="P147" s="18" t="str">
        <x:f>IF($A147="","",IF($L147="Late","Late - 0 points",IF($J147="","Waiting for result",IF($O147&gt;0,"Scored",IF($O147&lt;0,"Wrong pick","No points")))))</x:f>
      </x:c>
    </x:row>
    <x:row r="148">
      <x:c r="A148" s="60" t="n">
        <x:f>'Form Responses 1'!A148</x:f>
        <x:v>0</x:v>
      </x:c>
      <x:c r="B148" s="18" t="n">
        <x:f>'Form Responses 1'!B148</x:f>
        <x:v>0</x:v>
      </x:c>
      <x:c r="C148" s="18" t="n">
        <x:f>'Form Responses 1'!C148</x:f>
        <x:v>0</x:v>
      </x:c>
      <x:c r="D148" s="18" t="n">
        <x:f>'Form Responses 1'!D148</x:f>
        <x:v>0</x:v>
      </x:c>
      <x:c r="E148" s="18" t="n">
        <x:f>'Form Responses 1'!E148</x:f>
        <x:v>0</x:v>
      </x:c>
      <x:c r="F148" s="18" t="n">
        <x:f>'Form Responses 1'!F148</x:f>
        <x:v>0</x:v>
      </x:c>
      <x:c r="G148" s="18" t="n">
        <x:f>'Form Responses 1'!G148</x:f>
        <x:v>0</x:v>
      </x:c>
      <x:c r="H148" s="18" t="str">
        <x:f>IF($C148="","",IFERROR(VLOOKUP($C148,Matches!$A$2:$Q$200,5,FALSE),"Unknown"))</x:f>
      </x:c>
      <x:c r="I148" s="60" t="str">
        <x:f>IF($C148="","",IFERROR(VLOOKUP($C148,Matches!$A$2:$Q$200,16,FALSE),""))</x:f>
      </x:c>
      <x:c r="J148" s="18" t="str">
        <x:f>IF($C148="","",IFERROR(VLOOKUP($C148,Matches!$A$2:$Q$200,11,FALSE),""))</x:f>
      </x:c>
      <x:c r="K148" s="18" t="str">
        <x:f>IF($C148="","",IFERROR(VLOOKUP($C148,Matches!$A$2:$Q$200,12,FALSE),""))</x:f>
      </x:c>
      <x:c r="L148" s="18" t="str">
        <x:f>IF($A148="","",IF($C148=1,"Yes",IF(OR($I148="",$A148&lt;$I148),"Yes","Late")))</x:f>
      </x:c>
      <x:c r="M148" s="66" t="str">
        <x:f>IF($A148="","",IF($L148&lt;&gt;"Yes",0,IF($E148="",0,IF($J148="",0,IF($H148="Group",IF($E148=$J148,Setup!$H$2,Setup!$H$3),IF($E148=$K148,Setup!$H$2,Setup!$H$3))))))</x:f>
      </x:c>
      <x:c r="N148" s="66" t="str">
        <x:f>IF($A148="","",IF($L148&lt;&gt;"Yes",0,IF(OR($F148="",$G148=""),0,IF(AND($F148=VLOOKUP($C148,Matches!$A$2:$Q$200,9,FALSE),$G148=VLOOKUP($C148,Matches!$A$2:$Q$200,10,FALSE)),Setup!$H$5,0))))</x:f>
      </x:c>
      <x:c r="O148" s="66" t="str">
        <x:f>IF($A148="","",$M148+$N148)</x:f>
      </x:c>
      <x:c r="P148" s="18" t="str">
        <x:f>IF($A148="","",IF($L148="Late","Late - 0 points",IF($J148="","Waiting for result",IF($O148&gt;0,"Scored",IF($O148&lt;0,"Wrong pick","No points")))))</x:f>
      </x:c>
    </x:row>
    <x:row r="149">
      <x:c r="A149" s="60" t="n">
        <x:f>'Form Responses 1'!A149</x:f>
        <x:v>0</x:v>
      </x:c>
      <x:c r="B149" s="18" t="n">
        <x:f>'Form Responses 1'!B149</x:f>
        <x:v>0</x:v>
      </x:c>
      <x:c r="C149" s="18" t="n">
        <x:f>'Form Responses 1'!C149</x:f>
        <x:v>0</x:v>
      </x:c>
      <x:c r="D149" s="18" t="n">
        <x:f>'Form Responses 1'!D149</x:f>
        <x:v>0</x:v>
      </x:c>
      <x:c r="E149" s="18" t="n">
        <x:f>'Form Responses 1'!E149</x:f>
        <x:v>0</x:v>
      </x:c>
      <x:c r="F149" s="18" t="n">
        <x:f>'Form Responses 1'!F149</x:f>
        <x:v>0</x:v>
      </x:c>
      <x:c r="G149" s="18" t="n">
        <x:f>'Form Responses 1'!G149</x:f>
        <x:v>0</x:v>
      </x:c>
      <x:c r="H149" s="18" t="str">
        <x:f>IF($C149="","",IFERROR(VLOOKUP($C149,Matches!$A$2:$Q$200,5,FALSE),"Unknown"))</x:f>
      </x:c>
      <x:c r="I149" s="60" t="str">
        <x:f>IF($C149="","",IFERROR(VLOOKUP($C149,Matches!$A$2:$Q$200,16,FALSE),""))</x:f>
      </x:c>
      <x:c r="J149" s="18" t="str">
        <x:f>IF($C149="","",IFERROR(VLOOKUP($C149,Matches!$A$2:$Q$200,11,FALSE),""))</x:f>
      </x:c>
      <x:c r="K149" s="18" t="str">
        <x:f>IF($C149="","",IFERROR(VLOOKUP($C149,Matches!$A$2:$Q$200,12,FALSE),""))</x:f>
      </x:c>
      <x:c r="L149" s="18" t="str">
        <x:f>IF($A149="","",IF($C149=1,"Yes",IF(OR($I149="",$A149&lt;$I149),"Yes","Late")))</x:f>
      </x:c>
      <x:c r="M149" s="66" t="str">
        <x:f>IF($A149="","",IF($L149&lt;&gt;"Yes",0,IF($E149="",0,IF($J149="",0,IF($H149="Group",IF($E149=$J149,Setup!$H$2,Setup!$H$3),IF($E149=$K149,Setup!$H$2,Setup!$H$3))))))</x:f>
      </x:c>
      <x:c r="N149" s="66" t="str">
        <x:f>IF($A149="","",IF($L149&lt;&gt;"Yes",0,IF(OR($F149="",$G149=""),0,IF(AND($F149=VLOOKUP($C149,Matches!$A$2:$Q$200,9,FALSE),$G149=VLOOKUP($C149,Matches!$A$2:$Q$200,10,FALSE)),Setup!$H$5,0))))</x:f>
      </x:c>
      <x:c r="O149" s="66" t="str">
        <x:f>IF($A149="","",$M149+$N149)</x:f>
      </x:c>
      <x:c r="P149" s="18" t="str">
        <x:f>IF($A149="","",IF($L149="Late","Late - 0 points",IF($J149="","Waiting for result",IF($O149&gt;0,"Scored",IF($O149&lt;0,"Wrong pick","No points")))))</x:f>
      </x:c>
    </x:row>
    <x:row r="150">
      <x:c r="A150" s="60" t="n">
        <x:f>'Form Responses 1'!A150</x:f>
        <x:v>0</x:v>
      </x:c>
      <x:c r="B150" s="18" t="n">
        <x:f>'Form Responses 1'!B150</x:f>
        <x:v>0</x:v>
      </x:c>
      <x:c r="C150" s="18" t="n">
        <x:f>'Form Responses 1'!C150</x:f>
        <x:v>0</x:v>
      </x:c>
      <x:c r="D150" s="18" t="n">
        <x:f>'Form Responses 1'!D150</x:f>
        <x:v>0</x:v>
      </x:c>
      <x:c r="E150" s="18" t="n">
        <x:f>'Form Responses 1'!E150</x:f>
        <x:v>0</x:v>
      </x:c>
      <x:c r="F150" s="18" t="n">
        <x:f>'Form Responses 1'!F150</x:f>
        <x:v>0</x:v>
      </x:c>
      <x:c r="G150" s="18" t="n">
        <x:f>'Form Responses 1'!G150</x:f>
        <x:v>0</x:v>
      </x:c>
      <x:c r="H150" s="18" t="str">
        <x:f>IF($C150="","",IFERROR(VLOOKUP($C150,Matches!$A$2:$Q$200,5,FALSE),"Unknown"))</x:f>
      </x:c>
      <x:c r="I150" s="60" t="str">
        <x:f>IF($C150="","",IFERROR(VLOOKUP($C150,Matches!$A$2:$Q$200,16,FALSE),""))</x:f>
      </x:c>
      <x:c r="J150" s="18" t="str">
        <x:f>IF($C150="","",IFERROR(VLOOKUP($C150,Matches!$A$2:$Q$200,11,FALSE),""))</x:f>
      </x:c>
      <x:c r="K150" s="18" t="str">
        <x:f>IF($C150="","",IFERROR(VLOOKUP($C150,Matches!$A$2:$Q$200,12,FALSE),""))</x:f>
      </x:c>
      <x:c r="L150" s="18" t="str">
        <x:f>IF($A150="","",IF($C150=1,"Yes",IF(OR($I150="",$A150&lt;$I150),"Yes","Late")))</x:f>
      </x:c>
      <x:c r="M150" s="66" t="str">
        <x:f>IF($A150="","",IF($L150&lt;&gt;"Yes",0,IF($E150="",0,IF($J150="",0,IF($H150="Group",IF($E150=$J150,Setup!$H$2,Setup!$H$3),IF($E150=$K150,Setup!$H$2,Setup!$H$3))))))</x:f>
      </x:c>
      <x:c r="N150" s="66" t="str">
        <x:f>IF($A150="","",IF($L150&lt;&gt;"Yes",0,IF(OR($F150="",$G150=""),0,IF(AND($F150=VLOOKUP($C150,Matches!$A$2:$Q$200,9,FALSE),$G150=VLOOKUP($C150,Matches!$A$2:$Q$200,10,FALSE)),Setup!$H$5,0))))</x:f>
      </x:c>
      <x:c r="O150" s="66" t="str">
        <x:f>IF($A150="","",$M150+$N150)</x:f>
      </x:c>
      <x:c r="P150" s="18" t="str">
        <x:f>IF($A150="","",IF($L150="Late","Late - 0 points",IF($J150="","Waiting for result",IF($O150&gt;0,"Scored",IF($O150&lt;0,"Wrong pick","No points")))))</x:f>
      </x:c>
    </x:row>
    <x:row r="151">
      <x:c r="A151" s="60" t="n">
        <x:f>'Form Responses 1'!A151</x:f>
        <x:v>0</x:v>
      </x:c>
      <x:c r="B151" s="18" t="n">
        <x:f>'Form Responses 1'!B151</x:f>
        <x:v>0</x:v>
      </x:c>
      <x:c r="C151" s="18" t="n">
        <x:f>'Form Responses 1'!C151</x:f>
        <x:v>0</x:v>
      </x:c>
      <x:c r="D151" s="18" t="n">
        <x:f>'Form Responses 1'!D151</x:f>
        <x:v>0</x:v>
      </x:c>
      <x:c r="E151" s="18" t="n">
        <x:f>'Form Responses 1'!E151</x:f>
        <x:v>0</x:v>
      </x:c>
      <x:c r="F151" s="18" t="n">
        <x:f>'Form Responses 1'!F151</x:f>
        <x:v>0</x:v>
      </x:c>
      <x:c r="G151" s="18" t="n">
        <x:f>'Form Responses 1'!G151</x:f>
        <x:v>0</x:v>
      </x:c>
      <x:c r="H151" s="18" t="str">
        <x:f>IF($C151="","",IFERROR(VLOOKUP($C151,Matches!$A$2:$Q$200,5,FALSE),"Unknown"))</x:f>
      </x:c>
      <x:c r="I151" s="60" t="str">
        <x:f>IF($C151="","",IFERROR(VLOOKUP($C151,Matches!$A$2:$Q$200,16,FALSE),""))</x:f>
      </x:c>
      <x:c r="J151" s="18" t="str">
        <x:f>IF($C151="","",IFERROR(VLOOKUP($C151,Matches!$A$2:$Q$200,11,FALSE),""))</x:f>
      </x:c>
      <x:c r="K151" s="18" t="str">
        <x:f>IF($C151="","",IFERROR(VLOOKUP($C151,Matches!$A$2:$Q$200,12,FALSE),""))</x:f>
      </x:c>
      <x:c r="L151" s="18" t="str">
        <x:f>IF($A151="","",IF($C151=1,"Yes",IF(OR($I151="",$A151&lt;$I151),"Yes","Late")))</x:f>
      </x:c>
      <x:c r="M151" s="66" t="str">
        <x:f>IF($A151="","",IF($L151&lt;&gt;"Yes",0,IF($E151="",0,IF($J151="",0,IF($H151="Group",IF($E151=$J151,Setup!$H$2,Setup!$H$3),IF($E151=$K151,Setup!$H$2,Setup!$H$3))))))</x:f>
      </x:c>
      <x:c r="N151" s="66" t="str">
        <x:f>IF($A151="","",IF($L151&lt;&gt;"Yes",0,IF(OR($F151="",$G151=""),0,IF(AND($F151=VLOOKUP($C151,Matches!$A$2:$Q$200,9,FALSE),$G151=VLOOKUP($C151,Matches!$A$2:$Q$200,10,FALSE)),Setup!$H$5,0))))</x:f>
      </x:c>
      <x:c r="O151" s="66" t="str">
        <x:f>IF($A151="","",$M151+$N151)</x:f>
      </x:c>
      <x:c r="P151" s="18" t="str">
        <x:f>IF($A151="","",IF($L151="Late","Late - 0 points",IF($J151="","Waiting for result",IF($O151&gt;0,"Scored",IF($O151&lt;0,"Wrong pick","No points")))))</x:f>
      </x:c>
    </x:row>
    <x:row r="152">
      <x:c r="A152" s="60" t="n">
        <x:f>'Form Responses 1'!A152</x:f>
        <x:v>0</x:v>
      </x:c>
      <x:c r="B152" s="18" t="n">
        <x:f>'Form Responses 1'!B152</x:f>
        <x:v>0</x:v>
      </x:c>
      <x:c r="C152" s="18" t="n">
        <x:f>'Form Responses 1'!C152</x:f>
        <x:v>0</x:v>
      </x:c>
      <x:c r="D152" s="18" t="n">
        <x:f>'Form Responses 1'!D152</x:f>
        <x:v>0</x:v>
      </x:c>
      <x:c r="E152" s="18" t="n">
        <x:f>'Form Responses 1'!E152</x:f>
        <x:v>0</x:v>
      </x:c>
      <x:c r="F152" s="18" t="n">
        <x:f>'Form Responses 1'!F152</x:f>
        <x:v>0</x:v>
      </x:c>
      <x:c r="G152" s="18" t="n">
        <x:f>'Form Responses 1'!G152</x:f>
        <x:v>0</x:v>
      </x:c>
      <x:c r="H152" s="18" t="str">
        <x:f>IF($C152="","",IFERROR(VLOOKUP($C152,Matches!$A$2:$Q$200,5,FALSE),"Unknown"))</x:f>
      </x:c>
      <x:c r="I152" s="60" t="str">
        <x:f>IF($C152="","",IFERROR(VLOOKUP($C152,Matches!$A$2:$Q$200,16,FALSE),""))</x:f>
      </x:c>
      <x:c r="J152" s="18" t="str">
        <x:f>IF($C152="","",IFERROR(VLOOKUP($C152,Matches!$A$2:$Q$200,11,FALSE),""))</x:f>
      </x:c>
      <x:c r="K152" s="18" t="str">
        <x:f>IF($C152="","",IFERROR(VLOOKUP($C152,Matches!$A$2:$Q$200,12,FALSE),""))</x:f>
      </x:c>
      <x:c r="L152" s="18" t="str">
        <x:f>IF($A152="","",IF($C152=1,"Yes",IF(OR($I152="",$A152&lt;$I152),"Yes","Late")))</x:f>
      </x:c>
      <x:c r="M152" s="66" t="str">
        <x:f>IF($A152="","",IF($L152&lt;&gt;"Yes",0,IF($E152="",0,IF($J152="",0,IF($H152="Group",IF($E152=$J152,Setup!$H$2,Setup!$H$3),IF($E152=$K152,Setup!$H$2,Setup!$H$3))))))</x:f>
      </x:c>
      <x:c r="N152" s="66" t="str">
        <x:f>IF($A152="","",IF($L152&lt;&gt;"Yes",0,IF(OR($F152="",$G152=""),0,IF(AND($F152=VLOOKUP($C152,Matches!$A$2:$Q$200,9,FALSE),$G152=VLOOKUP($C152,Matches!$A$2:$Q$200,10,FALSE)),Setup!$H$5,0))))</x:f>
      </x:c>
      <x:c r="O152" s="66" t="str">
        <x:f>IF($A152="","",$M152+$N152)</x:f>
      </x:c>
      <x:c r="P152" s="18" t="str">
        <x:f>IF($A152="","",IF($L152="Late","Late - 0 points",IF($J152="","Waiting for result",IF($O152&gt;0,"Scored",IF($O152&lt;0,"Wrong pick","No points")))))</x:f>
      </x:c>
    </x:row>
    <x:row r="153">
      <x:c r="A153" s="60" t="n">
        <x:f>'Form Responses 1'!A153</x:f>
        <x:v>0</x:v>
      </x:c>
      <x:c r="B153" s="18" t="n">
        <x:f>'Form Responses 1'!B153</x:f>
        <x:v>0</x:v>
      </x:c>
      <x:c r="C153" s="18" t="n">
        <x:f>'Form Responses 1'!C153</x:f>
        <x:v>0</x:v>
      </x:c>
      <x:c r="D153" s="18" t="n">
        <x:f>'Form Responses 1'!D153</x:f>
        <x:v>0</x:v>
      </x:c>
      <x:c r="E153" s="18" t="n">
        <x:f>'Form Responses 1'!E153</x:f>
        <x:v>0</x:v>
      </x:c>
      <x:c r="F153" s="18" t="n">
        <x:f>'Form Responses 1'!F153</x:f>
        <x:v>0</x:v>
      </x:c>
      <x:c r="G153" s="18" t="n">
        <x:f>'Form Responses 1'!G153</x:f>
        <x:v>0</x:v>
      </x:c>
      <x:c r="H153" s="18" t="str">
        <x:f>IF($C153="","",IFERROR(VLOOKUP($C153,Matches!$A$2:$Q$200,5,FALSE),"Unknown"))</x:f>
      </x:c>
      <x:c r="I153" s="60" t="str">
        <x:f>IF($C153="","",IFERROR(VLOOKUP($C153,Matches!$A$2:$Q$200,16,FALSE),""))</x:f>
      </x:c>
      <x:c r="J153" s="18" t="str">
        <x:f>IF($C153="","",IFERROR(VLOOKUP($C153,Matches!$A$2:$Q$200,11,FALSE),""))</x:f>
      </x:c>
      <x:c r="K153" s="18" t="str">
        <x:f>IF($C153="","",IFERROR(VLOOKUP($C153,Matches!$A$2:$Q$200,12,FALSE),""))</x:f>
      </x:c>
      <x:c r="L153" s="18" t="str">
        <x:f>IF($A153="","",IF($C153=1,"Yes",IF(OR($I153="",$A153&lt;$I153),"Yes","Late")))</x:f>
      </x:c>
      <x:c r="M153" s="66" t="str">
        <x:f>IF($A153="","",IF($L153&lt;&gt;"Yes",0,IF($E153="",0,IF($J153="",0,IF($H153="Group",IF($E153=$J153,Setup!$H$2,Setup!$H$3),IF($E153=$K153,Setup!$H$2,Setup!$H$3))))))</x:f>
      </x:c>
      <x:c r="N153" s="66" t="str">
        <x:f>IF($A153="","",IF($L153&lt;&gt;"Yes",0,IF(OR($F153="",$G153=""),0,IF(AND($F153=VLOOKUP($C153,Matches!$A$2:$Q$200,9,FALSE),$G153=VLOOKUP($C153,Matches!$A$2:$Q$200,10,FALSE)),Setup!$H$5,0))))</x:f>
      </x:c>
      <x:c r="O153" s="66" t="str">
        <x:f>IF($A153="","",$M153+$N153)</x:f>
      </x:c>
      <x:c r="P153" s="18" t="str">
        <x:f>IF($A153="","",IF($L153="Late","Late - 0 points",IF($J153="","Waiting for result",IF($O153&gt;0,"Scored",IF($O153&lt;0,"Wrong pick","No points")))))</x:f>
      </x:c>
    </x:row>
    <x:row r="154">
      <x:c r="A154" s="60" t="n">
        <x:f>'Form Responses 1'!A154</x:f>
        <x:v>0</x:v>
      </x:c>
      <x:c r="B154" s="18" t="n">
        <x:f>'Form Responses 1'!B154</x:f>
        <x:v>0</x:v>
      </x:c>
      <x:c r="C154" s="18" t="n">
        <x:f>'Form Responses 1'!C154</x:f>
        <x:v>0</x:v>
      </x:c>
      <x:c r="D154" s="18" t="n">
        <x:f>'Form Responses 1'!D154</x:f>
        <x:v>0</x:v>
      </x:c>
      <x:c r="E154" s="18" t="n">
        <x:f>'Form Responses 1'!E154</x:f>
        <x:v>0</x:v>
      </x:c>
      <x:c r="F154" s="18" t="n">
        <x:f>'Form Responses 1'!F154</x:f>
        <x:v>0</x:v>
      </x:c>
      <x:c r="G154" s="18" t="n">
        <x:f>'Form Responses 1'!G154</x:f>
        <x:v>0</x:v>
      </x:c>
      <x:c r="H154" s="18" t="str">
        <x:f>IF($C154="","",IFERROR(VLOOKUP($C154,Matches!$A$2:$Q$200,5,FALSE),"Unknown"))</x:f>
      </x:c>
      <x:c r="I154" s="60" t="str">
        <x:f>IF($C154="","",IFERROR(VLOOKUP($C154,Matches!$A$2:$Q$200,16,FALSE),""))</x:f>
      </x:c>
      <x:c r="J154" s="18" t="str">
        <x:f>IF($C154="","",IFERROR(VLOOKUP($C154,Matches!$A$2:$Q$200,11,FALSE),""))</x:f>
      </x:c>
      <x:c r="K154" s="18" t="str">
        <x:f>IF($C154="","",IFERROR(VLOOKUP($C154,Matches!$A$2:$Q$200,12,FALSE),""))</x:f>
      </x:c>
      <x:c r="L154" s="18" t="str">
        <x:f>IF($A154="","",IF($C154=1,"Yes",IF(OR($I154="",$A154&lt;$I154),"Yes","Late")))</x:f>
      </x:c>
      <x:c r="M154" s="66" t="str">
        <x:f>IF($A154="","",IF($L154&lt;&gt;"Yes",0,IF($E154="",0,IF($J154="",0,IF($H154="Group",IF($E154=$J154,Setup!$H$2,Setup!$H$3),IF($E154=$K154,Setup!$H$2,Setup!$H$3))))))</x:f>
      </x:c>
      <x:c r="N154" s="66" t="str">
        <x:f>IF($A154="","",IF($L154&lt;&gt;"Yes",0,IF(OR($F154="",$G154=""),0,IF(AND($F154=VLOOKUP($C154,Matches!$A$2:$Q$200,9,FALSE),$G154=VLOOKUP($C154,Matches!$A$2:$Q$200,10,FALSE)),Setup!$H$5,0))))</x:f>
      </x:c>
      <x:c r="O154" s="66" t="str">
        <x:f>IF($A154="","",$M154+$N154)</x:f>
      </x:c>
      <x:c r="P154" s="18" t="str">
        <x:f>IF($A154="","",IF($L154="Late","Late - 0 points",IF($J154="","Waiting for result",IF($O154&gt;0,"Scored",IF($O154&lt;0,"Wrong pick","No points")))))</x:f>
      </x:c>
    </x:row>
    <x:row r="155">
      <x:c r="A155" s="60" t="n">
        <x:f>'Form Responses 1'!A155</x:f>
        <x:v>0</x:v>
      </x:c>
      <x:c r="B155" s="18" t="n">
        <x:f>'Form Responses 1'!B155</x:f>
        <x:v>0</x:v>
      </x:c>
      <x:c r="C155" s="18" t="n">
        <x:f>'Form Responses 1'!C155</x:f>
        <x:v>0</x:v>
      </x:c>
      <x:c r="D155" s="18" t="n">
        <x:f>'Form Responses 1'!D155</x:f>
        <x:v>0</x:v>
      </x:c>
      <x:c r="E155" s="18" t="n">
        <x:f>'Form Responses 1'!E155</x:f>
        <x:v>0</x:v>
      </x:c>
      <x:c r="F155" s="18" t="n">
        <x:f>'Form Responses 1'!F155</x:f>
        <x:v>0</x:v>
      </x:c>
      <x:c r="G155" s="18" t="n">
        <x:f>'Form Responses 1'!G155</x:f>
        <x:v>0</x:v>
      </x:c>
      <x:c r="H155" s="18" t="str">
        <x:f>IF($C155="","",IFERROR(VLOOKUP($C155,Matches!$A$2:$Q$200,5,FALSE),"Unknown"))</x:f>
      </x:c>
      <x:c r="I155" s="60" t="str">
        <x:f>IF($C155="","",IFERROR(VLOOKUP($C155,Matches!$A$2:$Q$200,16,FALSE),""))</x:f>
      </x:c>
      <x:c r="J155" s="18" t="str">
        <x:f>IF($C155="","",IFERROR(VLOOKUP($C155,Matches!$A$2:$Q$200,11,FALSE),""))</x:f>
      </x:c>
      <x:c r="K155" s="18" t="str">
        <x:f>IF($C155="","",IFERROR(VLOOKUP($C155,Matches!$A$2:$Q$200,12,FALSE),""))</x:f>
      </x:c>
      <x:c r="L155" s="18" t="str">
        <x:f>IF($A155="","",IF($C155=1,"Yes",IF(OR($I155="",$A155&lt;$I155),"Yes","Late")))</x:f>
      </x:c>
      <x:c r="M155" s="66" t="str">
        <x:f>IF($A155="","",IF($L155&lt;&gt;"Yes",0,IF($E155="",0,IF($J155="",0,IF($H155="Group",IF($E155=$J155,Setup!$H$2,Setup!$H$3),IF($E155=$K155,Setup!$H$2,Setup!$H$3))))))</x:f>
      </x:c>
      <x:c r="N155" s="66" t="str">
        <x:f>IF($A155="","",IF($L155&lt;&gt;"Yes",0,IF(OR($F155="",$G155=""),0,IF(AND($F155=VLOOKUP($C155,Matches!$A$2:$Q$200,9,FALSE),$G155=VLOOKUP($C155,Matches!$A$2:$Q$200,10,FALSE)),Setup!$H$5,0))))</x:f>
      </x:c>
      <x:c r="O155" s="66" t="str">
        <x:f>IF($A155="","",$M155+$N155)</x:f>
      </x:c>
      <x:c r="P155" s="18" t="str">
        <x:f>IF($A155="","",IF($L155="Late","Late - 0 points",IF($J155="","Waiting for result",IF($O155&gt;0,"Scored",IF($O155&lt;0,"Wrong pick","No points")))))</x:f>
      </x:c>
    </x:row>
    <x:row r="156">
      <x:c r="A156" s="60" t="n">
        <x:f>'Form Responses 1'!A156</x:f>
        <x:v>0</x:v>
      </x:c>
      <x:c r="B156" s="18" t="n">
        <x:f>'Form Responses 1'!B156</x:f>
        <x:v>0</x:v>
      </x:c>
      <x:c r="C156" s="18" t="n">
        <x:f>'Form Responses 1'!C156</x:f>
        <x:v>0</x:v>
      </x:c>
      <x:c r="D156" s="18" t="n">
        <x:f>'Form Responses 1'!D156</x:f>
        <x:v>0</x:v>
      </x:c>
      <x:c r="E156" s="18" t="n">
        <x:f>'Form Responses 1'!E156</x:f>
        <x:v>0</x:v>
      </x:c>
      <x:c r="F156" s="18" t="n">
        <x:f>'Form Responses 1'!F156</x:f>
        <x:v>0</x:v>
      </x:c>
      <x:c r="G156" s="18" t="n">
        <x:f>'Form Responses 1'!G156</x:f>
        <x:v>0</x:v>
      </x:c>
      <x:c r="H156" s="18" t="str">
        <x:f>IF($C156="","",IFERROR(VLOOKUP($C156,Matches!$A$2:$Q$200,5,FALSE),"Unknown"))</x:f>
      </x:c>
      <x:c r="I156" s="60" t="str">
        <x:f>IF($C156="","",IFERROR(VLOOKUP($C156,Matches!$A$2:$Q$200,16,FALSE),""))</x:f>
      </x:c>
      <x:c r="J156" s="18" t="str">
        <x:f>IF($C156="","",IFERROR(VLOOKUP($C156,Matches!$A$2:$Q$200,11,FALSE),""))</x:f>
      </x:c>
      <x:c r="K156" s="18" t="str">
        <x:f>IF($C156="","",IFERROR(VLOOKUP($C156,Matches!$A$2:$Q$200,12,FALSE),""))</x:f>
      </x:c>
      <x:c r="L156" s="18" t="str">
        <x:f>IF($A156="","",IF($C156=1,"Yes",IF(OR($I156="",$A156&lt;$I156),"Yes","Late")))</x:f>
      </x:c>
      <x:c r="M156" s="66" t="str">
        <x:f>IF($A156="","",IF($L156&lt;&gt;"Yes",0,IF($E156="",0,IF($J156="",0,IF($H156="Group",IF($E156=$J156,Setup!$H$2,Setup!$H$3),IF($E156=$K156,Setup!$H$2,Setup!$H$3))))))</x:f>
      </x:c>
      <x:c r="N156" s="66" t="str">
        <x:f>IF($A156="","",IF($L156&lt;&gt;"Yes",0,IF(OR($F156="",$G156=""),0,IF(AND($F156=VLOOKUP($C156,Matches!$A$2:$Q$200,9,FALSE),$G156=VLOOKUP($C156,Matches!$A$2:$Q$200,10,FALSE)),Setup!$H$5,0))))</x:f>
      </x:c>
      <x:c r="O156" s="66" t="str">
        <x:f>IF($A156="","",$M156+$N156)</x:f>
      </x:c>
      <x:c r="P156" s="18" t="str">
        <x:f>IF($A156="","",IF($L156="Late","Late - 0 points",IF($J156="","Waiting for result",IF($O156&gt;0,"Scored",IF($O156&lt;0,"Wrong pick","No points")))))</x:f>
      </x:c>
    </x:row>
    <x:row r="157">
      <x:c r="A157" s="60" t="n">
        <x:f>'Form Responses 1'!A157</x:f>
        <x:v>0</x:v>
      </x:c>
      <x:c r="B157" s="18" t="n">
        <x:f>'Form Responses 1'!B157</x:f>
        <x:v>0</x:v>
      </x:c>
      <x:c r="C157" s="18" t="n">
        <x:f>'Form Responses 1'!C157</x:f>
        <x:v>0</x:v>
      </x:c>
      <x:c r="D157" s="18" t="n">
        <x:f>'Form Responses 1'!D157</x:f>
        <x:v>0</x:v>
      </x:c>
      <x:c r="E157" s="18" t="n">
        <x:f>'Form Responses 1'!E157</x:f>
        <x:v>0</x:v>
      </x:c>
      <x:c r="F157" s="18" t="n">
        <x:f>'Form Responses 1'!F157</x:f>
        <x:v>0</x:v>
      </x:c>
      <x:c r="G157" s="18" t="n">
        <x:f>'Form Responses 1'!G157</x:f>
        <x:v>0</x:v>
      </x:c>
      <x:c r="H157" s="18" t="str">
        <x:f>IF($C157="","",IFERROR(VLOOKUP($C157,Matches!$A$2:$Q$200,5,FALSE),"Unknown"))</x:f>
      </x:c>
      <x:c r="I157" s="60" t="str">
        <x:f>IF($C157="","",IFERROR(VLOOKUP($C157,Matches!$A$2:$Q$200,16,FALSE),""))</x:f>
      </x:c>
      <x:c r="J157" s="18" t="str">
        <x:f>IF($C157="","",IFERROR(VLOOKUP($C157,Matches!$A$2:$Q$200,11,FALSE),""))</x:f>
      </x:c>
      <x:c r="K157" s="18" t="str">
        <x:f>IF($C157="","",IFERROR(VLOOKUP($C157,Matches!$A$2:$Q$200,12,FALSE),""))</x:f>
      </x:c>
      <x:c r="L157" s="18" t="str">
        <x:f>IF($A157="","",IF($C157=1,"Yes",IF(OR($I157="",$A157&lt;$I157),"Yes","Late")))</x:f>
      </x:c>
      <x:c r="M157" s="66" t="str">
        <x:f>IF($A157="","",IF($L157&lt;&gt;"Yes",0,IF($E157="",0,IF($J157="",0,IF($H157="Group",IF($E157=$J157,Setup!$H$2,Setup!$H$3),IF($E157=$K157,Setup!$H$2,Setup!$H$3))))))</x:f>
      </x:c>
      <x:c r="N157" s="66" t="str">
        <x:f>IF($A157="","",IF($L157&lt;&gt;"Yes",0,IF(OR($F157="",$G157=""),0,IF(AND($F157=VLOOKUP($C157,Matches!$A$2:$Q$200,9,FALSE),$G157=VLOOKUP($C157,Matches!$A$2:$Q$200,10,FALSE)),Setup!$H$5,0))))</x:f>
      </x:c>
      <x:c r="O157" s="66" t="str">
        <x:f>IF($A157="","",$M157+$N157)</x:f>
      </x:c>
      <x:c r="P157" s="18" t="str">
        <x:f>IF($A157="","",IF($L157="Late","Late - 0 points",IF($J157="","Waiting for result",IF($O157&gt;0,"Scored",IF($O157&lt;0,"Wrong pick","No points")))))</x:f>
      </x:c>
    </x:row>
    <x:row r="158">
      <x:c r="A158" s="60" t="n">
        <x:f>'Form Responses 1'!A158</x:f>
        <x:v>0</x:v>
      </x:c>
      <x:c r="B158" s="18" t="n">
        <x:f>'Form Responses 1'!B158</x:f>
        <x:v>0</x:v>
      </x:c>
      <x:c r="C158" s="18" t="n">
        <x:f>'Form Responses 1'!C158</x:f>
        <x:v>0</x:v>
      </x:c>
      <x:c r="D158" s="18" t="n">
        <x:f>'Form Responses 1'!D158</x:f>
        <x:v>0</x:v>
      </x:c>
      <x:c r="E158" s="18" t="n">
        <x:f>'Form Responses 1'!E158</x:f>
        <x:v>0</x:v>
      </x:c>
      <x:c r="F158" s="18" t="n">
        <x:f>'Form Responses 1'!F158</x:f>
        <x:v>0</x:v>
      </x:c>
      <x:c r="G158" s="18" t="n">
        <x:f>'Form Responses 1'!G158</x:f>
        <x:v>0</x:v>
      </x:c>
      <x:c r="H158" s="18" t="str">
        <x:f>IF($C158="","",IFERROR(VLOOKUP($C158,Matches!$A$2:$Q$200,5,FALSE),"Unknown"))</x:f>
      </x:c>
      <x:c r="I158" s="60" t="str">
        <x:f>IF($C158="","",IFERROR(VLOOKUP($C158,Matches!$A$2:$Q$200,16,FALSE),""))</x:f>
      </x:c>
      <x:c r="J158" s="18" t="str">
        <x:f>IF($C158="","",IFERROR(VLOOKUP($C158,Matches!$A$2:$Q$200,11,FALSE),""))</x:f>
      </x:c>
      <x:c r="K158" s="18" t="str">
        <x:f>IF($C158="","",IFERROR(VLOOKUP($C158,Matches!$A$2:$Q$200,12,FALSE),""))</x:f>
      </x:c>
      <x:c r="L158" s="18" t="str">
        <x:f>IF($A158="","",IF($C158=1,"Yes",IF(OR($I158="",$A158&lt;$I158),"Yes","Late")))</x:f>
      </x:c>
      <x:c r="M158" s="66" t="str">
        <x:f>IF($A158="","",IF($L158&lt;&gt;"Yes",0,IF($E158="",0,IF($J158="",0,IF($H158="Group",IF($E158=$J158,Setup!$H$2,Setup!$H$3),IF($E158=$K158,Setup!$H$2,Setup!$H$3))))))</x:f>
      </x:c>
      <x:c r="N158" s="66" t="str">
        <x:f>IF($A158="","",IF($L158&lt;&gt;"Yes",0,IF(OR($F158="",$G158=""),0,IF(AND($F158=VLOOKUP($C158,Matches!$A$2:$Q$200,9,FALSE),$G158=VLOOKUP($C158,Matches!$A$2:$Q$200,10,FALSE)),Setup!$H$5,0))))</x:f>
      </x:c>
      <x:c r="O158" s="66" t="str">
        <x:f>IF($A158="","",$M158+$N158)</x:f>
      </x:c>
      <x:c r="P158" s="18" t="str">
        <x:f>IF($A158="","",IF($L158="Late","Late - 0 points",IF($J158="","Waiting for result",IF($O158&gt;0,"Scored",IF($O158&lt;0,"Wrong pick","No points")))))</x:f>
      </x:c>
    </x:row>
    <x:row r="159">
      <x:c r="A159" s="60" t="n">
        <x:f>'Form Responses 1'!A159</x:f>
        <x:v>0</x:v>
      </x:c>
      <x:c r="B159" s="18" t="n">
        <x:f>'Form Responses 1'!B159</x:f>
        <x:v>0</x:v>
      </x:c>
      <x:c r="C159" s="18" t="n">
        <x:f>'Form Responses 1'!C159</x:f>
        <x:v>0</x:v>
      </x:c>
      <x:c r="D159" s="18" t="n">
        <x:f>'Form Responses 1'!D159</x:f>
        <x:v>0</x:v>
      </x:c>
      <x:c r="E159" s="18" t="n">
        <x:f>'Form Responses 1'!E159</x:f>
        <x:v>0</x:v>
      </x:c>
      <x:c r="F159" s="18" t="n">
        <x:f>'Form Responses 1'!F159</x:f>
        <x:v>0</x:v>
      </x:c>
      <x:c r="G159" s="18" t="n">
        <x:f>'Form Responses 1'!G159</x:f>
        <x:v>0</x:v>
      </x:c>
      <x:c r="H159" s="18" t="str">
        <x:f>IF($C159="","",IFERROR(VLOOKUP($C159,Matches!$A$2:$Q$200,5,FALSE),"Unknown"))</x:f>
      </x:c>
      <x:c r="I159" s="60" t="str">
        <x:f>IF($C159="","",IFERROR(VLOOKUP($C159,Matches!$A$2:$Q$200,16,FALSE),""))</x:f>
      </x:c>
      <x:c r="J159" s="18" t="str">
        <x:f>IF($C159="","",IFERROR(VLOOKUP($C159,Matches!$A$2:$Q$200,11,FALSE),""))</x:f>
      </x:c>
      <x:c r="K159" s="18" t="str">
        <x:f>IF($C159="","",IFERROR(VLOOKUP($C159,Matches!$A$2:$Q$200,12,FALSE),""))</x:f>
      </x:c>
      <x:c r="L159" s="18" t="str">
        <x:f>IF($A159="","",IF($C159=1,"Yes",IF(OR($I159="",$A159&lt;$I159),"Yes","Late")))</x:f>
      </x:c>
      <x:c r="M159" s="66" t="str">
        <x:f>IF($A159="","",IF($L159&lt;&gt;"Yes",0,IF($E159="",0,IF($J159="",0,IF($H159="Group",IF($E159=$J159,Setup!$H$2,Setup!$H$3),IF($E159=$K159,Setup!$H$2,Setup!$H$3))))))</x:f>
      </x:c>
      <x:c r="N159" s="66" t="str">
        <x:f>IF($A159="","",IF($L159&lt;&gt;"Yes",0,IF(OR($F159="",$G159=""),0,IF(AND($F159=VLOOKUP($C159,Matches!$A$2:$Q$200,9,FALSE),$G159=VLOOKUP($C159,Matches!$A$2:$Q$200,10,FALSE)),Setup!$H$5,0))))</x:f>
      </x:c>
      <x:c r="O159" s="66" t="str">
        <x:f>IF($A159="","",$M159+$N159)</x:f>
      </x:c>
      <x:c r="P159" s="18" t="str">
        <x:f>IF($A159="","",IF($L159="Late","Late - 0 points",IF($J159="","Waiting for result",IF($O159&gt;0,"Scored",IF($O159&lt;0,"Wrong pick","No points")))))</x:f>
      </x:c>
    </x:row>
    <x:row r="160">
      <x:c r="A160" s="60" t="n">
        <x:f>'Form Responses 1'!A160</x:f>
        <x:v>0</x:v>
      </x:c>
      <x:c r="B160" s="18" t="n">
        <x:f>'Form Responses 1'!B160</x:f>
        <x:v>0</x:v>
      </x:c>
      <x:c r="C160" s="18" t="n">
        <x:f>'Form Responses 1'!C160</x:f>
        <x:v>0</x:v>
      </x:c>
      <x:c r="D160" s="18" t="n">
        <x:f>'Form Responses 1'!D160</x:f>
        <x:v>0</x:v>
      </x:c>
      <x:c r="E160" s="18" t="n">
        <x:f>'Form Responses 1'!E160</x:f>
        <x:v>0</x:v>
      </x:c>
      <x:c r="F160" s="18" t="n">
        <x:f>'Form Responses 1'!F160</x:f>
        <x:v>0</x:v>
      </x:c>
      <x:c r="G160" s="18" t="n">
        <x:f>'Form Responses 1'!G160</x:f>
        <x:v>0</x:v>
      </x:c>
      <x:c r="H160" s="18" t="str">
        <x:f>IF($C160="","",IFERROR(VLOOKUP($C160,Matches!$A$2:$Q$200,5,FALSE),"Unknown"))</x:f>
      </x:c>
      <x:c r="I160" s="60" t="str">
        <x:f>IF($C160="","",IFERROR(VLOOKUP($C160,Matches!$A$2:$Q$200,16,FALSE),""))</x:f>
      </x:c>
      <x:c r="J160" s="18" t="str">
        <x:f>IF($C160="","",IFERROR(VLOOKUP($C160,Matches!$A$2:$Q$200,11,FALSE),""))</x:f>
      </x:c>
      <x:c r="K160" s="18" t="str">
        <x:f>IF($C160="","",IFERROR(VLOOKUP($C160,Matches!$A$2:$Q$200,12,FALSE),""))</x:f>
      </x:c>
      <x:c r="L160" s="18" t="str">
        <x:f>IF($A160="","",IF($C160=1,"Yes",IF(OR($I160="",$A160&lt;$I160),"Yes","Late")))</x:f>
      </x:c>
      <x:c r="M160" s="66" t="str">
        <x:f>IF($A160="","",IF($L160&lt;&gt;"Yes",0,IF($E160="",0,IF($J160="",0,IF($H160="Group",IF($E160=$J160,Setup!$H$2,Setup!$H$3),IF($E160=$K160,Setup!$H$2,Setup!$H$3))))))</x:f>
      </x:c>
      <x:c r="N160" s="66" t="str">
        <x:f>IF($A160="","",IF($L160&lt;&gt;"Yes",0,IF(OR($F160="",$G160=""),0,IF(AND($F160=VLOOKUP($C160,Matches!$A$2:$Q$200,9,FALSE),$G160=VLOOKUP($C160,Matches!$A$2:$Q$200,10,FALSE)),Setup!$H$5,0))))</x:f>
      </x:c>
      <x:c r="O160" s="66" t="str">
        <x:f>IF($A160="","",$M160+$N160)</x:f>
      </x:c>
      <x:c r="P160" s="18" t="str">
        <x:f>IF($A160="","",IF($L160="Late","Late - 0 points",IF($J160="","Waiting for result",IF($O160&gt;0,"Scored",IF($O160&lt;0,"Wrong pick","No points")))))</x:f>
      </x:c>
    </x:row>
    <x:row r="161">
      <x:c r="A161" s="60" t="n">
        <x:f>'Form Responses 1'!A161</x:f>
        <x:v>0</x:v>
      </x:c>
      <x:c r="B161" s="18" t="n">
        <x:f>'Form Responses 1'!B161</x:f>
        <x:v>0</x:v>
      </x:c>
      <x:c r="C161" s="18" t="n">
        <x:f>'Form Responses 1'!C161</x:f>
        <x:v>0</x:v>
      </x:c>
      <x:c r="D161" s="18" t="n">
        <x:f>'Form Responses 1'!D161</x:f>
        <x:v>0</x:v>
      </x:c>
      <x:c r="E161" s="18" t="n">
        <x:f>'Form Responses 1'!E161</x:f>
        <x:v>0</x:v>
      </x:c>
      <x:c r="F161" s="18" t="n">
        <x:f>'Form Responses 1'!F161</x:f>
        <x:v>0</x:v>
      </x:c>
      <x:c r="G161" s="18" t="n">
        <x:f>'Form Responses 1'!G161</x:f>
        <x:v>0</x:v>
      </x:c>
      <x:c r="H161" s="18" t="str">
        <x:f>IF($C161="","",IFERROR(VLOOKUP($C161,Matches!$A$2:$Q$200,5,FALSE),"Unknown"))</x:f>
      </x:c>
      <x:c r="I161" s="60" t="str">
        <x:f>IF($C161="","",IFERROR(VLOOKUP($C161,Matches!$A$2:$Q$200,16,FALSE),""))</x:f>
      </x:c>
      <x:c r="J161" s="18" t="str">
        <x:f>IF($C161="","",IFERROR(VLOOKUP($C161,Matches!$A$2:$Q$200,11,FALSE),""))</x:f>
      </x:c>
      <x:c r="K161" s="18" t="str">
        <x:f>IF($C161="","",IFERROR(VLOOKUP($C161,Matches!$A$2:$Q$200,12,FALSE),""))</x:f>
      </x:c>
      <x:c r="L161" s="18" t="str">
        <x:f>IF($A161="","",IF($C161=1,"Yes",IF(OR($I161="",$A161&lt;$I161),"Yes","Late")))</x:f>
      </x:c>
      <x:c r="M161" s="66" t="str">
        <x:f>IF($A161="","",IF($L161&lt;&gt;"Yes",0,IF($E161="",0,IF($J161="",0,IF($H161="Group",IF($E161=$J161,Setup!$H$2,Setup!$H$3),IF($E161=$K161,Setup!$H$2,Setup!$H$3))))))</x:f>
      </x:c>
      <x:c r="N161" s="66" t="str">
        <x:f>IF($A161="","",IF($L161&lt;&gt;"Yes",0,IF(OR($F161="",$G161=""),0,IF(AND($F161=VLOOKUP($C161,Matches!$A$2:$Q$200,9,FALSE),$G161=VLOOKUP($C161,Matches!$A$2:$Q$200,10,FALSE)),Setup!$H$5,0))))</x:f>
      </x:c>
      <x:c r="O161" s="66" t="str">
        <x:f>IF($A161="","",$M161+$N161)</x:f>
      </x:c>
      <x:c r="P161" s="18" t="str">
        <x:f>IF($A161="","",IF($L161="Late","Late - 0 points",IF($J161="","Waiting for result",IF($O161&gt;0,"Scored",IF($O161&lt;0,"Wrong pick","No points")))))</x:f>
      </x:c>
    </x:row>
    <x:row r="162">
      <x:c r="A162" s="60" t="n">
        <x:f>'Form Responses 1'!A162</x:f>
        <x:v>0</x:v>
      </x:c>
      <x:c r="B162" s="18" t="n">
        <x:f>'Form Responses 1'!B162</x:f>
        <x:v>0</x:v>
      </x:c>
      <x:c r="C162" s="18" t="n">
        <x:f>'Form Responses 1'!C162</x:f>
        <x:v>0</x:v>
      </x:c>
      <x:c r="D162" s="18" t="n">
        <x:f>'Form Responses 1'!D162</x:f>
        <x:v>0</x:v>
      </x:c>
      <x:c r="E162" s="18" t="n">
        <x:f>'Form Responses 1'!E162</x:f>
        <x:v>0</x:v>
      </x:c>
      <x:c r="F162" s="18" t="n">
        <x:f>'Form Responses 1'!F162</x:f>
        <x:v>0</x:v>
      </x:c>
      <x:c r="G162" s="18" t="n">
        <x:f>'Form Responses 1'!G162</x:f>
        <x:v>0</x:v>
      </x:c>
      <x:c r="H162" s="18" t="str">
        <x:f>IF($C162="","",IFERROR(VLOOKUP($C162,Matches!$A$2:$Q$200,5,FALSE),"Unknown"))</x:f>
      </x:c>
      <x:c r="I162" s="60" t="str">
        <x:f>IF($C162="","",IFERROR(VLOOKUP($C162,Matches!$A$2:$Q$200,16,FALSE),""))</x:f>
      </x:c>
      <x:c r="J162" s="18" t="str">
        <x:f>IF($C162="","",IFERROR(VLOOKUP($C162,Matches!$A$2:$Q$200,11,FALSE),""))</x:f>
      </x:c>
      <x:c r="K162" s="18" t="str">
        <x:f>IF($C162="","",IFERROR(VLOOKUP($C162,Matches!$A$2:$Q$200,12,FALSE),""))</x:f>
      </x:c>
      <x:c r="L162" s="18" t="str">
        <x:f>IF($A162="","",IF($C162=1,"Yes",IF(OR($I162="",$A162&lt;$I162),"Yes","Late")))</x:f>
      </x:c>
      <x:c r="M162" s="66" t="str">
        <x:f>IF($A162="","",IF($L162&lt;&gt;"Yes",0,IF($E162="",0,IF($J162="",0,IF($H162="Group",IF($E162=$J162,Setup!$H$2,Setup!$H$3),IF($E162=$K162,Setup!$H$2,Setup!$H$3))))))</x:f>
      </x:c>
      <x:c r="N162" s="66" t="str">
        <x:f>IF($A162="","",IF($L162&lt;&gt;"Yes",0,IF(OR($F162="",$G162=""),0,IF(AND($F162=VLOOKUP($C162,Matches!$A$2:$Q$200,9,FALSE),$G162=VLOOKUP($C162,Matches!$A$2:$Q$200,10,FALSE)),Setup!$H$5,0))))</x:f>
      </x:c>
      <x:c r="O162" s="66" t="str">
        <x:f>IF($A162="","",$M162+$N162)</x:f>
      </x:c>
      <x:c r="P162" s="18" t="str">
        <x:f>IF($A162="","",IF($L162="Late","Late - 0 points",IF($J162="","Waiting for result",IF($O162&gt;0,"Scored",IF($O162&lt;0,"Wrong pick","No points")))))</x:f>
      </x:c>
    </x:row>
    <x:row r="163">
      <x:c r="A163" s="60" t="n">
        <x:f>'Form Responses 1'!A163</x:f>
        <x:v>0</x:v>
      </x:c>
      <x:c r="B163" s="18" t="n">
        <x:f>'Form Responses 1'!B163</x:f>
        <x:v>0</x:v>
      </x:c>
      <x:c r="C163" s="18" t="n">
        <x:f>'Form Responses 1'!C163</x:f>
        <x:v>0</x:v>
      </x:c>
      <x:c r="D163" s="18" t="n">
        <x:f>'Form Responses 1'!D163</x:f>
        <x:v>0</x:v>
      </x:c>
      <x:c r="E163" s="18" t="n">
        <x:f>'Form Responses 1'!E163</x:f>
        <x:v>0</x:v>
      </x:c>
      <x:c r="F163" s="18" t="n">
        <x:f>'Form Responses 1'!F163</x:f>
        <x:v>0</x:v>
      </x:c>
      <x:c r="G163" s="18" t="n">
        <x:f>'Form Responses 1'!G163</x:f>
        <x:v>0</x:v>
      </x:c>
      <x:c r="H163" s="18" t="str">
        <x:f>IF($C163="","",IFERROR(VLOOKUP($C163,Matches!$A$2:$Q$200,5,FALSE),"Unknown"))</x:f>
      </x:c>
      <x:c r="I163" s="60" t="str">
        <x:f>IF($C163="","",IFERROR(VLOOKUP($C163,Matches!$A$2:$Q$200,16,FALSE),""))</x:f>
      </x:c>
      <x:c r="J163" s="18" t="str">
        <x:f>IF($C163="","",IFERROR(VLOOKUP($C163,Matches!$A$2:$Q$200,11,FALSE),""))</x:f>
      </x:c>
      <x:c r="K163" s="18" t="str">
        <x:f>IF($C163="","",IFERROR(VLOOKUP($C163,Matches!$A$2:$Q$200,12,FALSE),""))</x:f>
      </x:c>
      <x:c r="L163" s="18" t="str">
        <x:f>IF($A163="","",IF($C163=1,"Yes",IF(OR($I163="",$A163&lt;$I163),"Yes","Late")))</x:f>
      </x:c>
      <x:c r="M163" s="66" t="str">
        <x:f>IF($A163="","",IF($L163&lt;&gt;"Yes",0,IF($E163="",0,IF($J163="",0,IF($H163="Group",IF($E163=$J163,Setup!$H$2,Setup!$H$3),IF($E163=$K163,Setup!$H$2,Setup!$H$3))))))</x:f>
      </x:c>
      <x:c r="N163" s="66" t="str">
        <x:f>IF($A163="","",IF($L163&lt;&gt;"Yes",0,IF(OR($F163="",$G163=""),0,IF(AND($F163=VLOOKUP($C163,Matches!$A$2:$Q$200,9,FALSE),$G163=VLOOKUP($C163,Matches!$A$2:$Q$200,10,FALSE)),Setup!$H$5,0))))</x:f>
      </x:c>
      <x:c r="O163" s="66" t="str">
        <x:f>IF($A163="","",$M163+$N163)</x:f>
      </x:c>
      <x:c r="P163" s="18" t="str">
        <x:f>IF($A163="","",IF($L163="Late","Late - 0 points",IF($J163="","Waiting for result",IF($O163&gt;0,"Scored",IF($O163&lt;0,"Wrong pick","No points")))))</x:f>
      </x:c>
    </x:row>
    <x:row r="164">
      <x:c r="A164" s="60" t="n">
        <x:f>'Form Responses 1'!A164</x:f>
        <x:v>0</x:v>
      </x:c>
      <x:c r="B164" s="18" t="n">
        <x:f>'Form Responses 1'!B164</x:f>
        <x:v>0</x:v>
      </x:c>
      <x:c r="C164" s="18" t="n">
        <x:f>'Form Responses 1'!C164</x:f>
        <x:v>0</x:v>
      </x:c>
      <x:c r="D164" s="18" t="n">
        <x:f>'Form Responses 1'!D164</x:f>
        <x:v>0</x:v>
      </x:c>
      <x:c r="E164" s="18" t="n">
        <x:f>'Form Responses 1'!E164</x:f>
        <x:v>0</x:v>
      </x:c>
      <x:c r="F164" s="18" t="n">
        <x:f>'Form Responses 1'!F164</x:f>
        <x:v>0</x:v>
      </x:c>
      <x:c r="G164" s="18" t="n">
        <x:f>'Form Responses 1'!G164</x:f>
        <x:v>0</x:v>
      </x:c>
      <x:c r="H164" s="18" t="str">
        <x:f>IF($C164="","",IFERROR(VLOOKUP($C164,Matches!$A$2:$Q$200,5,FALSE),"Unknown"))</x:f>
      </x:c>
      <x:c r="I164" s="60" t="str">
        <x:f>IF($C164="","",IFERROR(VLOOKUP($C164,Matches!$A$2:$Q$200,16,FALSE),""))</x:f>
      </x:c>
      <x:c r="J164" s="18" t="str">
        <x:f>IF($C164="","",IFERROR(VLOOKUP($C164,Matches!$A$2:$Q$200,11,FALSE),""))</x:f>
      </x:c>
      <x:c r="K164" s="18" t="str">
        <x:f>IF($C164="","",IFERROR(VLOOKUP($C164,Matches!$A$2:$Q$200,12,FALSE),""))</x:f>
      </x:c>
      <x:c r="L164" s="18" t="str">
        <x:f>IF($A164="","",IF($C164=1,"Yes",IF(OR($I164="",$A164&lt;$I164),"Yes","Late")))</x:f>
      </x:c>
      <x:c r="M164" s="66" t="str">
        <x:f>IF($A164="","",IF($L164&lt;&gt;"Yes",0,IF($E164="",0,IF($J164="",0,IF($H164="Group",IF($E164=$J164,Setup!$H$2,Setup!$H$3),IF($E164=$K164,Setup!$H$2,Setup!$H$3))))))</x:f>
      </x:c>
      <x:c r="N164" s="66" t="str">
        <x:f>IF($A164="","",IF($L164&lt;&gt;"Yes",0,IF(OR($F164="",$G164=""),0,IF(AND($F164=VLOOKUP($C164,Matches!$A$2:$Q$200,9,FALSE),$G164=VLOOKUP($C164,Matches!$A$2:$Q$200,10,FALSE)),Setup!$H$5,0))))</x:f>
      </x:c>
      <x:c r="O164" s="66" t="str">
        <x:f>IF($A164="","",$M164+$N164)</x:f>
      </x:c>
      <x:c r="P164" s="18" t="str">
        <x:f>IF($A164="","",IF($L164="Late","Late - 0 points",IF($J164="","Waiting for result",IF($O164&gt;0,"Scored",IF($O164&lt;0,"Wrong pick","No points")))))</x:f>
      </x:c>
    </x:row>
    <x:row r="165">
      <x:c r="A165" s="60" t="n">
        <x:f>'Form Responses 1'!A165</x:f>
        <x:v>0</x:v>
      </x:c>
      <x:c r="B165" s="18" t="n">
        <x:f>'Form Responses 1'!B165</x:f>
        <x:v>0</x:v>
      </x:c>
      <x:c r="C165" s="18" t="n">
        <x:f>'Form Responses 1'!C165</x:f>
        <x:v>0</x:v>
      </x:c>
      <x:c r="D165" s="18" t="n">
        <x:f>'Form Responses 1'!D165</x:f>
        <x:v>0</x:v>
      </x:c>
      <x:c r="E165" s="18" t="n">
        <x:f>'Form Responses 1'!E165</x:f>
        <x:v>0</x:v>
      </x:c>
      <x:c r="F165" s="18" t="n">
        <x:f>'Form Responses 1'!F165</x:f>
        <x:v>0</x:v>
      </x:c>
      <x:c r="G165" s="18" t="n">
        <x:f>'Form Responses 1'!G165</x:f>
        <x:v>0</x:v>
      </x:c>
      <x:c r="H165" s="18" t="str">
        <x:f>IF($C165="","",IFERROR(VLOOKUP($C165,Matches!$A$2:$Q$200,5,FALSE),"Unknown"))</x:f>
      </x:c>
      <x:c r="I165" s="60" t="str">
        <x:f>IF($C165="","",IFERROR(VLOOKUP($C165,Matches!$A$2:$Q$200,16,FALSE),""))</x:f>
      </x:c>
      <x:c r="J165" s="18" t="str">
        <x:f>IF($C165="","",IFERROR(VLOOKUP($C165,Matches!$A$2:$Q$200,11,FALSE),""))</x:f>
      </x:c>
      <x:c r="K165" s="18" t="str">
        <x:f>IF($C165="","",IFERROR(VLOOKUP($C165,Matches!$A$2:$Q$200,12,FALSE),""))</x:f>
      </x:c>
      <x:c r="L165" s="18" t="str">
        <x:f>IF($A165="","",IF($C165=1,"Yes",IF(OR($I165="",$A165&lt;$I165),"Yes","Late")))</x:f>
      </x:c>
      <x:c r="M165" s="66" t="str">
        <x:f>IF($A165="","",IF($L165&lt;&gt;"Yes",0,IF($E165="",0,IF($J165="",0,IF($H165="Group",IF($E165=$J165,Setup!$H$2,Setup!$H$3),IF($E165=$K165,Setup!$H$2,Setup!$H$3))))))</x:f>
      </x:c>
      <x:c r="N165" s="66" t="str">
        <x:f>IF($A165="","",IF($L165&lt;&gt;"Yes",0,IF(OR($F165="",$G165=""),0,IF(AND($F165=VLOOKUP($C165,Matches!$A$2:$Q$200,9,FALSE),$G165=VLOOKUP($C165,Matches!$A$2:$Q$200,10,FALSE)),Setup!$H$5,0))))</x:f>
      </x:c>
      <x:c r="O165" s="66" t="str">
        <x:f>IF($A165="","",$M165+$N165)</x:f>
      </x:c>
      <x:c r="P165" s="18" t="str">
        <x:f>IF($A165="","",IF($L165="Late","Late - 0 points",IF($J165="","Waiting for result",IF($O165&gt;0,"Scored",IF($O165&lt;0,"Wrong pick","No points")))))</x:f>
      </x:c>
    </x:row>
    <x:row r="166">
      <x:c r="A166" s="60" t="n">
        <x:f>'Form Responses 1'!A166</x:f>
        <x:v>0</x:v>
      </x:c>
      <x:c r="B166" s="18" t="n">
        <x:f>'Form Responses 1'!B166</x:f>
        <x:v>0</x:v>
      </x:c>
      <x:c r="C166" s="18" t="n">
        <x:f>'Form Responses 1'!C166</x:f>
        <x:v>0</x:v>
      </x:c>
      <x:c r="D166" s="18" t="n">
        <x:f>'Form Responses 1'!D166</x:f>
        <x:v>0</x:v>
      </x:c>
      <x:c r="E166" s="18" t="n">
        <x:f>'Form Responses 1'!E166</x:f>
        <x:v>0</x:v>
      </x:c>
      <x:c r="F166" s="18" t="n">
        <x:f>'Form Responses 1'!F166</x:f>
        <x:v>0</x:v>
      </x:c>
      <x:c r="G166" s="18" t="n">
        <x:f>'Form Responses 1'!G166</x:f>
        <x:v>0</x:v>
      </x:c>
      <x:c r="H166" s="18" t="str">
        <x:f>IF($C166="","",IFERROR(VLOOKUP($C166,Matches!$A$2:$Q$200,5,FALSE),"Unknown"))</x:f>
      </x:c>
      <x:c r="I166" s="60" t="str">
        <x:f>IF($C166="","",IFERROR(VLOOKUP($C166,Matches!$A$2:$Q$200,16,FALSE),""))</x:f>
      </x:c>
      <x:c r="J166" s="18" t="str">
        <x:f>IF($C166="","",IFERROR(VLOOKUP($C166,Matches!$A$2:$Q$200,11,FALSE),""))</x:f>
      </x:c>
      <x:c r="K166" s="18" t="str">
        <x:f>IF($C166="","",IFERROR(VLOOKUP($C166,Matches!$A$2:$Q$200,12,FALSE),""))</x:f>
      </x:c>
      <x:c r="L166" s="18" t="str">
        <x:f>IF($A166="","",IF($C166=1,"Yes",IF(OR($I166="",$A166&lt;$I166),"Yes","Late")))</x:f>
      </x:c>
      <x:c r="M166" s="66" t="str">
        <x:f>IF($A166="","",IF($L166&lt;&gt;"Yes",0,IF($E166="",0,IF($J166="",0,IF($H166="Group",IF($E166=$J166,Setup!$H$2,Setup!$H$3),IF($E166=$K166,Setup!$H$2,Setup!$H$3))))))</x:f>
      </x:c>
      <x:c r="N166" s="66" t="str">
        <x:f>IF($A166="","",IF($L166&lt;&gt;"Yes",0,IF(OR($F166="",$G166=""),0,IF(AND($F166=VLOOKUP($C166,Matches!$A$2:$Q$200,9,FALSE),$G166=VLOOKUP($C166,Matches!$A$2:$Q$200,10,FALSE)),Setup!$H$5,0))))</x:f>
      </x:c>
      <x:c r="O166" s="66" t="str">
        <x:f>IF($A166="","",$M166+$N166)</x:f>
      </x:c>
      <x:c r="P166" s="18" t="str">
        <x:f>IF($A166="","",IF($L166="Late","Late - 0 points",IF($J166="","Waiting for result",IF($O166&gt;0,"Scored",IF($O166&lt;0,"Wrong pick","No points")))))</x:f>
      </x:c>
    </x:row>
    <x:row r="167">
      <x:c r="A167" s="60" t="n">
        <x:f>'Form Responses 1'!A167</x:f>
        <x:v>0</x:v>
      </x:c>
      <x:c r="B167" s="18" t="n">
        <x:f>'Form Responses 1'!B167</x:f>
        <x:v>0</x:v>
      </x:c>
      <x:c r="C167" s="18" t="n">
        <x:f>'Form Responses 1'!C167</x:f>
        <x:v>0</x:v>
      </x:c>
      <x:c r="D167" s="18" t="n">
        <x:f>'Form Responses 1'!D167</x:f>
        <x:v>0</x:v>
      </x:c>
      <x:c r="E167" s="18" t="n">
        <x:f>'Form Responses 1'!E167</x:f>
        <x:v>0</x:v>
      </x:c>
      <x:c r="F167" s="18" t="n">
        <x:f>'Form Responses 1'!F167</x:f>
        <x:v>0</x:v>
      </x:c>
      <x:c r="G167" s="18" t="n">
        <x:f>'Form Responses 1'!G167</x:f>
        <x:v>0</x:v>
      </x:c>
      <x:c r="H167" s="18" t="str">
        <x:f>IF($C167="","",IFERROR(VLOOKUP($C167,Matches!$A$2:$Q$200,5,FALSE),"Unknown"))</x:f>
      </x:c>
      <x:c r="I167" s="60" t="str">
        <x:f>IF($C167="","",IFERROR(VLOOKUP($C167,Matches!$A$2:$Q$200,16,FALSE),""))</x:f>
      </x:c>
      <x:c r="J167" s="18" t="str">
        <x:f>IF($C167="","",IFERROR(VLOOKUP($C167,Matches!$A$2:$Q$200,11,FALSE),""))</x:f>
      </x:c>
      <x:c r="K167" s="18" t="str">
        <x:f>IF($C167="","",IFERROR(VLOOKUP($C167,Matches!$A$2:$Q$200,12,FALSE),""))</x:f>
      </x:c>
      <x:c r="L167" s="18" t="str">
        <x:f>IF($A167="","",IF($C167=1,"Yes",IF(OR($I167="",$A167&lt;$I167),"Yes","Late")))</x:f>
      </x:c>
      <x:c r="M167" s="66" t="str">
        <x:f>IF($A167="","",IF($L167&lt;&gt;"Yes",0,IF($E167="",0,IF($J167="",0,IF($H167="Group",IF($E167=$J167,Setup!$H$2,Setup!$H$3),IF($E167=$K167,Setup!$H$2,Setup!$H$3))))))</x:f>
      </x:c>
      <x:c r="N167" s="66" t="str">
        <x:f>IF($A167="","",IF($L167&lt;&gt;"Yes",0,IF(OR($F167="",$G167=""),0,IF(AND($F167=VLOOKUP($C167,Matches!$A$2:$Q$200,9,FALSE),$G167=VLOOKUP($C167,Matches!$A$2:$Q$200,10,FALSE)),Setup!$H$5,0))))</x:f>
      </x:c>
      <x:c r="O167" s="66" t="str">
        <x:f>IF($A167="","",$M167+$N167)</x:f>
      </x:c>
      <x:c r="P167" s="18" t="str">
        <x:f>IF($A167="","",IF($L167="Late","Late - 0 points",IF($J167="","Waiting for result",IF($O167&gt;0,"Scored",IF($O167&lt;0,"Wrong pick","No points")))))</x:f>
      </x:c>
    </x:row>
    <x:row r="168">
      <x:c r="A168" s="60" t="n">
        <x:f>'Form Responses 1'!A168</x:f>
        <x:v>0</x:v>
      </x:c>
      <x:c r="B168" s="18" t="n">
        <x:f>'Form Responses 1'!B168</x:f>
        <x:v>0</x:v>
      </x:c>
      <x:c r="C168" s="18" t="n">
        <x:f>'Form Responses 1'!C168</x:f>
        <x:v>0</x:v>
      </x:c>
      <x:c r="D168" s="18" t="n">
        <x:f>'Form Responses 1'!D168</x:f>
        <x:v>0</x:v>
      </x:c>
      <x:c r="E168" s="18" t="n">
        <x:f>'Form Responses 1'!E168</x:f>
        <x:v>0</x:v>
      </x:c>
      <x:c r="F168" s="18" t="n">
        <x:f>'Form Responses 1'!F168</x:f>
        <x:v>0</x:v>
      </x:c>
      <x:c r="G168" s="18" t="n">
        <x:f>'Form Responses 1'!G168</x:f>
        <x:v>0</x:v>
      </x:c>
      <x:c r="H168" s="18" t="str">
        <x:f>IF($C168="","",IFERROR(VLOOKUP($C168,Matches!$A$2:$Q$200,5,FALSE),"Unknown"))</x:f>
      </x:c>
      <x:c r="I168" s="60" t="str">
        <x:f>IF($C168="","",IFERROR(VLOOKUP($C168,Matches!$A$2:$Q$200,16,FALSE),""))</x:f>
      </x:c>
      <x:c r="J168" s="18" t="str">
        <x:f>IF($C168="","",IFERROR(VLOOKUP($C168,Matches!$A$2:$Q$200,11,FALSE),""))</x:f>
      </x:c>
      <x:c r="K168" s="18" t="str">
        <x:f>IF($C168="","",IFERROR(VLOOKUP($C168,Matches!$A$2:$Q$200,12,FALSE),""))</x:f>
      </x:c>
      <x:c r="L168" s="18" t="str">
        <x:f>IF($A168="","",IF($C168=1,"Yes",IF(OR($I168="",$A168&lt;$I168),"Yes","Late")))</x:f>
      </x:c>
      <x:c r="M168" s="66" t="str">
        <x:f>IF($A168="","",IF($L168&lt;&gt;"Yes",0,IF($E168="",0,IF($J168="",0,IF($H168="Group",IF($E168=$J168,Setup!$H$2,Setup!$H$3),IF($E168=$K168,Setup!$H$2,Setup!$H$3))))))</x:f>
      </x:c>
      <x:c r="N168" s="66" t="str">
        <x:f>IF($A168="","",IF($L168&lt;&gt;"Yes",0,IF(OR($F168="",$G168=""),0,IF(AND($F168=VLOOKUP($C168,Matches!$A$2:$Q$200,9,FALSE),$G168=VLOOKUP($C168,Matches!$A$2:$Q$200,10,FALSE)),Setup!$H$5,0))))</x:f>
      </x:c>
      <x:c r="O168" s="66" t="str">
        <x:f>IF($A168="","",$M168+$N168)</x:f>
      </x:c>
      <x:c r="P168" s="18" t="str">
        <x:f>IF($A168="","",IF($L168="Late","Late - 0 points",IF($J168="","Waiting for result",IF($O168&gt;0,"Scored",IF($O168&lt;0,"Wrong pick","No points")))))</x:f>
      </x:c>
    </x:row>
    <x:row r="169">
      <x:c r="A169" s="60" t="n">
        <x:f>'Form Responses 1'!A169</x:f>
        <x:v>0</x:v>
      </x:c>
      <x:c r="B169" s="18" t="n">
        <x:f>'Form Responses 1'!B169</x:f>
        <x:v>0</x:v>
      </x:c>
      <x:c r="C169" s="18" t="n">
        <x:f>'Form Responses 1'!C169</x:f>
        <x:v>0</x:v>
      </x:c>
      <x:c r="D169" s="18" t="n">
        <x:f>'Form Responses 1'!D169</x:f>
        <x:v>0</x:v>
      </x:c>
      <x:c r="E169" s="18" t="n">
        <x:f>'Form Responses 1'!E169</x:f>
        <x:v>0</x:v>
      </x:c>
      <x:c r="F169" s="18" t="n">
        <x:f>'Form Responses 1'!F169</x:f>
        <x:v>0</x:v>
      </x:c>
      <x:c r="G169" s="18" t="n">
        <x:f>'Form Responses 1'!G169</x:f>
        <x:v>0</x:v>
      </x:c>
      <x:c r="H169" s="18" t="str">
        <x:f>IF($C169="","",IFERROR(VLOOKUP($C169,Matches!$A$2:$Q$200,5,FALSE),"Unknown"))</x:f>
      </x:c>
      <x:c r="I169" s="60" t="str">
        <x:f>IF($C169="","",IFERROR(VLOOKUP($C169,Matches!$A$2:$Q$200,16,FALSE),""))</x:f>
      </x:c>
      <x:c r="J169" s="18" t="str">
        <x:f>IF($C169="","",IFERROR(VLOOKUP($C169,Matches!$A$2:$Q$200,11,FALSE),""))</x:f>
      </x:c>
      <x:c r="K169" s="18" t="str">
        <x:f>IF($C169="","",IFERROR(VLOOKUP($C169,Matches!$A$2:$Q$200,12,FALSE),""))</x:f>
      </x:c>
      <x:c r="L169" s="18" t="str">
        <x:f>IF($A169="","",IF($C169=1,"Yes",IF(OR($I169="",$A169&lt;$I169),"Yes","Late")))</x:f>
      </x:c>
      <x:c r="M169" s="66" t="str">
        <x:f>IF($A169="","",IF($L169&lt;&gt;"Yes",0,IF($E169="",0,IF($J169="",0,IF($H169="Group",IF($E169=$J169,Setup!$H$2,Setup!$H$3),IF($E169=$K169,Setup!$H$2,Setup!$H$3))))))</x:f>
      </x:c>
      <x:c r="N169" s="66" t="str">
        <x:f>IF($A169="","",IF($L169&lt;&gt;"Yes",0,IF(OR($F169="",$G169=""),0,IF(AND($F169=VLOOKUP($C169,Matches!$A$2:$Q$200,9,FALSE),$G169=VLOOKUP($C169,Matches!$A$2:$Q$200,10,FALSE)),Setup!$H$5,0))))</x:f>
      </x:c>
      <x:c r="O169" s="66" t="str">
        <x:f>IF($A169="","",$M169+$N169)</x:f>
      </x:c>
      <x:c r="P169" s="18" t="str">
        <x:f>IF($A169="","",IF($L169="Late","Late - 0 points",IF($J169="","Waiting for result",IF($O169&gt;0,"Scored",IF($O169&lt;0,"Wrong pick","No points")))))</x:f>
      </x:c>
    </x:row>
    <x:row r="170">
      <x:c r="A170" s="60" t="n">
        <x:f>'Form Responses 1'!A170</x:f>
        <x:v>0</x:v>
      </x:c>
      <x:c r="B170" s="18" t="n">
        <x:f>'Form Responses 1'!B170</x:f>
        <x:v>0</x:v>
      </x:c>
      <x:c r="C170" s="18" t="n">
        <x:f>'Form Responses 1'!C170</x:f>
        <x:v>0</x:v>
      </x:c>
      <x:c r="D170" s="18" t="n">
        <x:f>'Form Responses 1'!D170</x:f>
        <x:v>0</x:v>
      </x:c>
      <x:c r="E170" s="18" t="n">
        <x:f>'Form Responses 1'!E170</x:f>
        <x:v>0</x:v>
      </x:c>
      <x:c r="F170" s="18" t="n">
        <x:f>'Form Responses 1'!F170</x:f>
        <x:v>0</x:v>
      </x:c>
      <x:c r="G170" s="18" t="n">
        <x:f>'Form Responses 1'!G170</x:f>
        <x:v>0</x:v>
      </x:c>
      <x:c r="H170" s="18" t="str">
        <x:f>IF($C170="","",IFERROR(VLOOKUP($C170,Matches!$A$2:$Q$200,5,FALSE),"Unknown"))</x:f>
      </x:c>
      <x:c r="I170" s="60" t="str">
        <x:f>IF($C170="","",IFERROR(VLOOKUP($C170,Matches!$A$2:$Q$200,16,FALSE),""))</x:f>
      </x:c>
      <x:c r="J170" s="18" t="str">
        <x:f>IF($C170="","",IFERROR(VLOOKUP($C170,Matches!$A$2:$Q$200,11,FALSE),""))</x:f>
      </x:c>
      <x:c r="K170" s="18" t="str">
        <x:f>IF($C170="","",IFERROR(VLOOKUP($C170,Matches!$A$2:$Q$200,12,FALSE),""))</x:f>
      </x:c>
      <x:c r="L170" s="18" t="str">
        <x:f>IF($A170="","",IF($C170=1,"Yes",IF(OR($I170="",$A170&lt;$I170),"Yes","Late")))</x:f>
      </x:c>
      <x:c r="M170" s="66" t="str">
        <x:f>IF($A170="","",IF($L170&lt;&gt;"Yes",0,IF($E170="",0,IF($J170="",0,IF($H170="Group",IF($E170=$J170,Setup!$H$2,Setup!$H$3),IF($E170=$K170,Setup!$H$2,Setup!$H$3))))))</x:f>
      </x:c>
      <x:c r="N170" s="66" t="str">
        <x:f>IF($A170="","",IF($L170&lt;&gt;"Yes",0,IF(OR($F170="",$G170=""),0,IF(AND($F170=VLOOKUP($C170,Matches!$A$2:$Q$200,9,FALSE),$G170=VLOOKUP($C170,Matches!$A$2:$Q$200,10,FALSE)),Setup!$H$5,0))))</x:f>
      </x:c>
      <x:c r="O170" s="66" t="str">
        <x:f>IF($A170="","",$M170+$N170)</x:f>
      </x:c>
      <x:c r="P170" s="18" t="str">
        <x:f>IF($A170="","",IF($L170="Late","Late - 0 points",IF($J170="","Waiting for result",IF($O170&gt;0,"Scored",IF($O170&lt;0,"Wrong pick","No points")))))</x:f>
      </x:c>
    </x:row>
    <x:row r="171">
      <x:c r="A171" s="60" t="n">
        <x:f>'Form Responses 1'!A171</x:f>
        <x:v>0</x:v>
      </x:c>
      <x:c r="B171" s="18" t="n">
        <x:f>'Form Responses 1'!B171</x:f>
        <x:v>0</x:v>
      </x:c>
      <x:c r="C171" s="18" t="n">
        <x:f>'Form Responses 1'!C171</x:f>
        <x:v>0</x:v>
      </x:c>
      <x:c r="D171" s="18" t="n">
        <x:f>'Form Responses 1'!D171</x:f>
        <x:v>0</x:v>
      </x:c>
      <x:c r="E171" s="18" t="n">
        <x:f>'Form Responses 1'!E171</x:f>
        <x:v>0</x:v>
      </x:c>
      <x:c r="F171" s="18" t="n">
        <x:f>'Form Responses 1'!F171</x:f>
        <x:v>0</x:v>
      </x:c>
      <x:c r="G171" s="18" t="n">
        <x:f>'Form Responses 1'!G171</x:f>
        <x:v>0</x:v>
      </x:c>
      <x:c r="H171" s="18" t="str">
        <x:f>IF($C171="","",IFERROR(VLOOKUP($C171,Matches!$A$2:$Q$200,5,FALSE),"Unknown"))</x:f>
      </x:c>
      <x:c r="I171" s="60" t="str">
        <x:f>IF($C171="","",IFERROR(VLOOKUP($C171,Matches!$A$2:$Q$200,16,FALSE),""))</x:f>
      </x:c>
      <x:c r="J171" s="18" t="str">
        <x:f>IF($C171="","",IFERROR(VLOOKUP($C171,Matches!$A$2:$Q$200,11,FALSE),""))</x:f>
      </x:c>
      <x:c r="K171" s="18" t="str">
        <x:f>IF($C171="","",IFERROR(VLOOKUP($C171,Matches!$A$2:$Q$200,12,FALSE),""))</x:f>
      </x:c>
      <x:c r="L171" s="18" t="str">
        <x:f>IF($A171="","",IF($C171=1,"Yes",IF(OR($I171="",$A171&lt;$I171),"Yes","Late")))</x:f>
      </x:c>
      <x:c r="M171" s="66" t="str">
        <x:f>IF($A171="","",IF($L171&lt;&gt;"Yes",0,IF($E171="",0,IF($J171="",0,IF($H171="Group",IF($E171=$J171,Setup!$H$2,Setup!$H$3),IF($E171=$K171,Setup!$H$2,Setup!$H$3))))))</x:f>
      </x:c>
      <x:c r="N171" s="66" t="str">
        <x:f>IF($A171="","",IF($L171&lt;&gt;"Yes",0,IF(OR($F171="",$G171=""),0,IF(AND($F171=VLOOKUP($C171,Matches!$A$2:$Q$200,9,FALSE),$G171=VLOOKUP($C171,Matches!$A$2:$Q$200,10,FALSE)),Setup!$H$5,0))))</x:f>
      </x:c>
      <x:c r="O171" s="66" t="str">
        <x:f>IF($A171="","",$M171+$N171)</x:f>
      </x:c>
      <x:c r="P171" s="18" t="str">
        <x:f>IF($A171="","",IF($L171="Late","Late - 0 points",IF($J171="","Waiting for result",IF($O171&gt;0,"Scored",IF($O171&lt;0,"Wrong pick","No points")))))</x:f>
      </x:c>
    </x:row>
    <x:row r="172">
      <x:c r="A172" s="60" t="n">
        <x:f>'Form Responses 1'!A172</x:f>
        <x:v>0</x:v>
      </x:c>
      <x:c r="B172" s="18" t="n">
        <x:f>'Form Responses 1'!B172</x:f>
        <x:v>0</x:v>
      </x:c>
      <x:c r="C172" s="18" t="n">
        <x:f>'Form Responses 1'!C172</x:f>
        <x:v>0</x:v>
      </x:c>
      <x:c r="D172" s="18" t="n">
        <x:f>'Form Responses 1'!D172</x:f>
        <x:v>0</x:v>
      </x:c>
      <x:c r="E172" s="18" t="n">
        <x:f>'Form Responses 1'!E172</x:f>
        <x:v>0</x:v>
      </x:c>
      <x:c r="F172" s="18" t="n">
        <x:f>'Form Responses 1'!F172</x:f>
        <x:v>0</x:v>
      </x:c>
      <x:c r="G172" s="18" t="n">
        <x:f>'Form Responses 1'!G172</x:f>
        <x:v>0</x:v>
      </x:c>
      <x:c r="H172" s="18" t="str">
        <x:f>IF($C172="","",IFERROR(VLOOKUP($C172,Matches!$A$2:$Q$200,5,FALSE),"Unknown"))</x:f>
      </x:c>
      <x:c r="I172" s="60" t="str">
        <x:f>IF($C172="","",IFERROR(VLOOKUP($C172,Matches!$A$2:$Q$200,16,FALSE),""))</x:f>
      </x:c>
      <x:c r="J172" s="18" t="str">
        <x:f>IF($C172="","",IFERROR(VLOOKUP($C172,Matches!$A$2:$Q$200,11,FALSE),""))</x:f>
      </x:c>
      <x:c r="K172" s="18" t="str">
        <x:f>IF($C172="","",IFERROR(VLOOKUP($C172,Matches!$A$2:$Q$200,12,FALSE),""))</x:f>
      </x:c>
      <x:c r="L172" s="18" t="str">
        <x:f>IF($A172="","",IF($C172=1,"Yes",IF(OR($I172="",$A172&lt;$I172),"Yes","Late")))</x:f>
      </x:c>
      <x:c r="M172" s="66" t="str">
        <x:f>IF($A172="","",IF($L172&lt;&gt;"Yes",0,IF($E172="",0,IF($J172="",0,IF($H172="Group",IF($E172=$J172,Setup!$H$2,Setup!$H$3),IF($E172=$K172,Setup!$H$2,Setup!$H$3))))))</x:f>
      </x:c>
      <x:c r="N172" s="66" t="str">
        <x:f>IF($A172="","",IF($L172&lt;&gt;"Yes",0,IF(OR($F172="",$G172=""),0,IF(AND($F172=VLOOKUP($C172,Matches!$A$2:$Q$200,9,FALSE),$G172=VLOOKUP($C172,Matches!$A$2:$Q$200,10,FALSE)),Setup!$H$5,0))))</x:f>
      </x:c>
      <x:c r="O172" s="66" t="str">
        <x:f>IF($A172="","",$M172+$N172)</x:f>
      </x:c>
      <x:c r="P172" s="18" t="str">
        <x:f>IF($A172="","",IF($L172="Late","Late - 0 points",IF($J172="","Waiting for result",IF($O172&gt;0,"Scored",IF($O172&lt;0,"Wrong pick","No points")))))</x:f>
      </x:c>
    </x:row>
    <x:row r="173">
      <x:c r="A173" s="60" t="n">
        <x:f>'Form Responses 1'!A173</x:f>
        <x:v>0</x:v>
      </x:c>
      <x:c r="B173" s="18" t="n">
        <x:f>'Form Responses 1'!B173</x:f>
        <x:v>0</x:v>
      </x:c>
      <x:c r="C173" s="18" t="n">
        <x:f>'Form Responses 1'!C173</x:f>
        <x:v>0</x:v>
      </x:c>
      <x:c r="D173" s="18" t="n">
        <x:f>'Form Responses 1'!D173</x:f>
        <x:v>0</x:v>
      </x:c>
      <x:c r="E173" s="18" t="n">
        <x:f>'Form Responses 1'!E173</x:f>
        <x:v>0</x:v>
      </x:c>
      <x:c r="F173" s="18" t="n">
        <x:f>'Form Responses 1'!F173</x:f>
        <x:v>0</x:v>
      </x:c>
      <x:c r="G173" s="18" t="n">
        <x:f>'Form Responses 1'!G173</x:f>
        <x:v>0</x:v>
      </x:c>
      <x:c r="H173" s="18" t="str">
        <x:f>IF($C173="","",IFERROR(VLOOKUP($C173,Matches!$A$2:$Q$200,5,FALSE),"Unknown"))</x:f>
      </x:c>
      <x:c r="I173" s="60" t="str">
        <x:f>IF($C173="","",IFERROR(VLOOKUP($C173,Matches!$A$2:$Q$200,16,FALSE),""))</x:f>
      </x:c>
      <x:c r="J173" s="18" t="str">
        <x:f>IF($C173="","",IFERROR(VLOOKUP($C173,Matches!$A$2:$Q$200,11,FALSE),""))</x:f>
      </x:c>
      <x:c r="K173" s="18" t="str">
        <x:f>IF($C173="","",IFERROR(VLOOKUP($C173,Matches!$A$2:$Q$200,12,FALSE),""))</x:f>
      </x:c>
      <x:c r="L173" s="18" t="str">
        <x:f>IF($A173="","",IF($C173=1,"Yes",IF(OR($I173="",$A173&lt;$I173),"Yes","Late")))</x:f>
      </x:c>
      <x:c r="M173" s="66" t="str">
        <x:f>IF($A173="","",IF($L173&lt;&gt;"Yes",0,IF($E173="",0,IF($J173="",0,IF($H173="Group",IF($E173=$J173,Setup!$H$2,Setup!$H$3),IF($E173=$K173,Setup!$H$2,Setup!$H$3))))))</x:f>
      </x:c>
      <x:c r="N173" s="66" t="str">
        <x:f>IF($A173="","",IF($L173&lt;&gt;"Yes",0,IF(OR($F173="",$G173=""),0,IF(AND($F173=VLOOKUP($C173,Matches!$A$2:$Q$200,9,FALSE),$G173=VLOOKUP($C173,Matches!$A$2:$Q$200,10,FALSE)),Setup!$H$5,0))))</x:f>
      </x:c>
      <x:c r="O173" s="66" t="str">
        <x:f>IF($A173="","",$M173+$N173)</x:f>
      </x:c>
      <x:c r="P173" s="18" t="str">
        <x:f>IF($A173="","",IF($L173="Late","Late - 0 points",IF($J173="","Waiting for result",IF($O173&gt;0,"Scored",IF($O173&lt;0,"Wrong pick","No points")))))</x:f>
      </x:c>
    </x:row>
    <x:row r="174">
      <x:c r="A174" s="60" t="n">
        <x:f>'Form Responses 1'!A174</x:f>
        <x:v>0</x:v>
      </x:c>
      <x:c r="B174" s="18" t="n">
        <x:f>'Form Responses 1'!B174</x:f>
        <x:v>0</x:v>
      </x:c>
      <x:c r="C174" s="18" t="n">
        <x:f>'Form Responses 1'!C174</x:f>
        <x:v>0</x:v>
      </x:c>
      <x:c r="D174" s="18" t="n">
        <x:f>'Form Responses 1'!D174</x:f>
        <x:v>0</x:v>
      </x:c>
      <x:c r="E174" s="18" t="n">
        <x:f>'Form Responses 1'!E174</x:f>
        <x:v>0</x:v>
      </x:c>
      <x:c r="F174" s="18" t="n">
        <x:f>'Form Responses 1'!F174</x:f>
        <x:v>0</x:v>
      </x:c>
      <x:c r="G174" s="18" t="n">
        <x:f>'Form Responses 1'!G174</x:f>
        <x:v>0</x:v>
      </x:c>
      <x:c r="H174" s="18" t="str">
        <x:f>IF($C174="","",IFERROR(VLOOKUP($C174,Matches!$A$2:$Q$200,5,FALSE),"Unknown"))</x:f>
      </x:c>
      <x:c r="I174" s="60" t="str">
        <x:f>IF($C174="","",IFERROR(VLOOKUP($C174,Matches!$A$2:$Q$200,16,FALSE),""))</x:f>
      </x:c>
      <x:c r="J174" s="18" t="str">
        <x:f>IF($C174="","",IFERROR(VLOOKUP($C174,Matches!$A$2:$Q$200,11,FALSE),""))</x:f>
      </x:c>
      <x:c r="K174" s="18" t="str">
        <x:f>IF($C174="","",IFERROR(VLOOKUP($C174,Matches!$A$2:$Q$200,12,FALSE),""))</x:f>
      </x:c>
      <x:c r="L174" s="18" t="str">
        <x:f>IF($A174="","",IF($C174=1,"Yes",IF(OR($I174="",$A174&lt;$I174),"Yes","Late")))</x:f>
      </x:c>
      <x:c r="M174" s="66" t="str">
        <x:f>IF($A174="","",IF($L174&lt;&gt;"Yes",0,IF($E174="",0,IF($J174="",0,IF($H174="Group",IF($E174=$J174,Setup!$H$2,Setup!$H$3),IF($E174=$K174,Setup!$H$2,Setup!$H$3))))))</x:f>
      </x:c>
      <x:c r="N174" s="66" t="str">
        <x:f>IF($A174="","",IF($L174&lt;&gt;"Yes",0,IF(OR($F174="",$G174=""),0,IF(AND($F174=VLOOKUP($C174,Matches!$A$2:$Q$200,9,FALSE),$G174=VLOOKUP($C174,Matches!$A$2:$Q$200,10,FALSE)),Setup!$H$5,0))))</x:f>
      </x:c>
      <x:c r="O174" s="66" t="str">
        <x:f>IF($A174="","",$M174+$N174)</x:f>
      </x:c>
      <x:c r="P174" s="18" t="str">
        <x:f>IF($A174="","",IF($L174="Late","Late - 0 points",IF($J174="","Waiting for result",IF($O174&gt;0,"Scored",IF($O174&lt;0,"Wrong pick","No points")))))</x:f>
      </x:c>
    </x:row>
    <x:row r="175">
      <x:c r="A175" s="60" t="n">
        <x:f>'Form Responses 1'!A175</x:f>
        <x:v>0</x:v>
      </x:c>
      <x:c r="B175" s="18" t="n">
        <x:f>'Form Responses 1'!B175</x:f>
        <x:v>0</x:v>
      </x:c>
      <x:c r="C175" s="18" t="n">
        <x:f>'Form Responses 1'!C175</x:f>
        <x:v>0</x:v>
      </x:c>
      <x:c r="D175" s="18" t="n">
        <x:f>'Form Responses 1'!D175</x:f>
        <x:v>0</x:v>
      </x:c>
      <x:c r="E175" s="18" t="n">
        <x:f>'Form Responses 1'!E175</x:f>
        <x:v>0</x:v>
      </x:c>
      <x:c r="F175" s="18" t="n">
        <x:f>'Form Responses 1'!F175</x:f>
        <x:v>0</x:v>
      </x:c>
      <x:c r="G175" s="18" t="n">
        <x:f>'Form Responses 1'!G175</x:f>
        <x:v>0</x:v>
      </x:c>
      <x:c r="H175" s="18" t="str">
        <x:f>IF($C175="","",IFERROR(VLOOKUP($C175,Matches!$A$2:$Q$200,5,FALSE),"Unknown"))</x:f>
      </x:c>
      <x:c r="I175" s="60" t="str">
        <x:f>IF($C175="","",IFERROR(VLOOKUP($C175,Matches!$A$2:$Q$200,16,FALSE),""))</x:f>
      </x:c>
      <x:c r="J175" s="18" t="str">
        <x:f>IF($C175="","",IFERROR(VLOOKUP($C175,Matches!$A$2:$Q$200,11,FALSE),""))</x:f>
      </x:c>
      <x:c r="K175" s="18" t="str">
        <x:f>IF($C175="","",IFERROR(VLOOKUP($C175,Matches!$A$2:$Q$200,12,FALSE),""))</x:f>
      </x:c>
      <x:c r="L175" s="18" t="str">
        <x:f>IF($A175="","",IF($C175=1,"Yes",IF(OR($I175="",$A175&lt;$I175),"Yes","Late")))</x:f>
      </x:c>
      <x:c r="M175" s="66" t="str">
        <x:f>IF($A175="","",IF($L175&lt;&gt;"Yes",0,IF($E175="",0,IF($J175="",0,IF($H175="Group",IF($E175=$J175,Setup!$H$2,Setup!$H$3),IF($E175=$K175,Setup!$H$2,Setup!$H$3))))))</x:f>
      </x:c>
      <x:c r="N175" s="66" t="str">
        <x:f>IF($A175="","",IF($L175&lt;&gt;"Yes",0,IF(OR($F175="",$G175=""),0,IF(AND($F175=VLOOKUP($C175,Matches!$A$2:$Q$200,9,FALSE),$G175=VLOOKUP($C175,Matches!$A$2:$Q$200,10,FALSE)),Setup!$H$5,0))))</x:f>
      </x:c>
      <x:c r="O175" s="66" t="str">
        <x:f>IF($A175="","",$M175+$N175)</x:f>
      </x:c>
      <x:c r="P175" s="18" t="str">
        <x:f>IF($A175="","",IF($L175="Late","Late - 0 points",IF($J175="","Waiting for result",IF($O175&gt;0,"Scored",IF($O175&lt;0,"Wrong pick","No points")))))</x:f>
      </x:c>
    </x:row>
    <x:row r="176">
      <x:c r="A176" s="60" t="n">
        <x:f>'Form Responses 1'!A176</x:f>
        <x:v>0</x:v>
      </x:c>
      <x:c r="B176" s="18" t="n">
        <x:f>'Form Responses 1'!B176</x:f>
        <x:v>0</x:v>
      </x:c>
      <x:c r="C176" s="18" t="n">
        <x:f>'Form Responses 1'!C176</x:f>
        <x:v>0</x:v>
      </x:c>
      <x:c r="D176" s="18" t="n">
        <x:f>'Form Responses 1'!D176</x:f>
        <x:v>0</x:v>
      </x:c>
      <x:c r="E176" s="18" t="n">
        <x:f>'Form Responses 1'!E176</x:f>
        <x:v>0</x:v>
      </x:c>
      <x:c r="F176" s="18" t="n">
        <x:f>'Form Responses 1'!F176</x:f>
        <x:v>0</x:v>
      </x:c>
      <x:c r="G176" s="18" t="n">
        <x:f>'Form Responses 1'!G176</x:f>
        <x:v>0</x:v>
      </x:c>
      <x:c r="H176" s="18" t="str">
        <x:f>IF($C176="","",IFERROR(VLOOKUP($C176,Matches!$A$2:$Q$200,5,FALSE),"Unknown"))</x:f>
      </x:c>
      <x:c r="I176" s="60" t="str">
        <x:f>IF($C176="","",IFERROR(VLOOKUP($C176,Matches!$A$2:$Q$200,16,FALSE),""))</x:f>
      </x:c>
      <x:c r="J176" s="18" t="str">
        <x:f>IF($C176="","",IFERROR(VLOOKUP($C176,Matches!$A$2:$Q$200,11,FALSE),""))</x:f>
      </x:c>
      <x:c r="K176" s="18" t="str">
        <x:f>IF($C176="","",IFERROR(VLOOKUP($C176,Matches!$A$2:$Q$200,12,FALSE),""))</x:f>
      </x:c>
      <x:c r="L176" s="18" t="str">
        <x:f>IF($A176="","",IF($C176=1,"Yes",IF(OR($I176="",$A176&lt;$I176),"Yes","Late")))</x:f>
      </x:c>
      <x:c r="M176" s="66" t="str">
        <x:f>IF($A176="","",IF($L176&lt;&gt;"Yes",0,IF($E176="",0,IF($J176="",0,IF($H176="Group",IF($E176=$J176,Setup!$H$2,Setup!$H$3),IF($E176=$K176,Setup!$H$2,Setup!$H$3))))))</x:f>
      </x:c>
      <x:c r="N176" s="66" t="str">
        <x:f>IF($A176="","",IF($L176&lt;&gt;"Yes",0,IF(OR($F176="",$G176=""),0,IF(AND($F176=VLOOKUP($C176,Matches!$A$2:$Q$200,9,FALSE),$G176=VLOOKUP($C176,Matches!$A$2:$Q$200,10,FALSE)),Setup!$H$5,0))))</x:f>
      </x:c>
      <x:c r="O176" s="66" t="str">
        <x:f>IF($A176="","",$M176+$N176)</x:f>
      </x:c>
      <x:c r="P176" s="18" t="str">
        <x:f>IF($A176="","",IF($L176="Late","Late - 0 points",IF($J176="","Waiting for result",IF($O176&gt;0,"Scored",IF($O176&lt;0,"Wrong pick","No points")))))</x:f>
      </x:c>
    </x:row>
    <x:row r="177">
      <x:c r="A177" s="60" t="n">
        <x:f>'Form Responses 1'!A177</x:f>
        <x:v>0</x:v>
      </x:c>
      <x:c r="B177" s="18" t="n">
        <x:f>'Form Responses 1'!B177</x:f>
        <x:v>0</x:v>
      </x:c>
      <x:c r="C177" s="18" t="n">
        <x:f>'Form Responses 1'!C177</x:f>
        <x:v>0</x:v>
      </x:c>
      <x:c r="D177" s="18" t="n">
        <x:f>'Form Responses 1'!D177</x:f>
        <x:v>0</x:v>
      </x:c>
      <x:c r="E177" s="18" t="n">
        <x:f>'Form Responses 1'!E177</x:f>
        <x:v>0</x:v>
      </x:c>
      <x:c r="F177" s="18" t="n">
        <x:f>'Form Responses 1'!F177</x:f>
        <x:v>0</x:v>
      </x:c>
      <x:c r="G177" s="18" t="n">
        <x:f>'Form Responses 1'!G177</x:f>
        <x:v>0</x:v>
      </x:c>
      <x:c r="H177" s="18" t="str">
        <x:f>IF($C177="","",IFERROR(VLOOKUP($C177,Matches!$A$2:$Q$200,5,FALSE),"Unknown"))</x:f>
      </x:c>
      <x:c r="I177" s="60" t="str">
        <x:f>IF($C177="","",IFERROR(VLOOKUP($C177,Matches!$A$2:$Q$200,16,FALSE),""))</x:f>
      </x:c>
      <x:c r="J177" s="18" t="str">
        <x:f>IF($C177="","",IFERROR(VLOOKUP($C177,Matches!$A$2:$Q$200,11,FALSE),""))</x:f>
      </x:c>
      <x:c r="K177" s="18" t="str">
        <x:f>IF($C177="","",IFERROR(VLOOKUP($C177,Matches!$A$2:$Q$200,12,FALSE),""))</x:f>
      </x:c>
      <x:c r="L177" s="18" t="str">
        <x:f>IF($A177="","",IF($C177=1,"Yes",IF(OR($I177="",$A177&lt;$I177),"Yes","Late")))</x:f>
      </x:c>
      <x:c r="M177" s="66" t="str">
        <x:f>IF($A177="","",IF($L177&lt;&gt;"Yes",0,IF($E177="",0,IF($J177="",0,IF($H177="Group",IF($E177=$J177,Setup!$H$2,Setup!$H$3),IF($E177=$K177,Setup!$H$2,Setup!$H$3))))))</x:f>
      </x:c>
      <x:c r="N177" s="66" t="str">
        <x:f>IF($A177="","",IF($L177&lt;&gt;"Yes",0,IF(OR($F177="",$G177=""),0,IF(AND($F177=VLOOKUP($C177,Matches!$A$2:$Q$200,9,FALSE),$G177=VLOOKUP($C177,Matches!$A$2:$Q$200,10,FALSE)),Setup!$H$5,0))))</x:f>
      </x:c>
      <x:c r="O177" s="66" t="str">
        <x:f>IF($A177="","",$M177+$N177)</x:f>
      </x:c>
      <x:c r="P177" s="18" t="str">
        <x:f>IF($A177="","",IF($L177="Late","Late - 0 points",IF($J177="","Waiting for result",IF($O177&gt;0,"Scored",IF($O177&lt;0,"Wrong pick","No points")))))</x:f>
      </x:c>
    </x:row>
    <x:row r="178">
      <x:c r="A178" s="60" t="n">
        <x:f>'Form Responses 1'!A178</x:f>
        <x:v>0</x:v>
      </x:c>
      <x:c r="B178" s="18" t="n">
        <x:f>'Form Responses 1'!B178</x:f>
        <x:v>0</x:v>
      </x:c>
      <x:c r="C178" s="18" t="n">
        <x:f>'Form Responses 1'!C178</x:f>
        <x:v>0</x:v>
      </x:c>
      <x:c r="D178" s="18" t="n">
        <x:f>'Form Responses 1'!D178</x:f>
        <x:v>0</x:v>
      </x:c>
      <x:c r="E178" s="18" t="n">
        <x:f>'Form Responses 1'!E178</x:f>
        <x:v>0</x:v>
      </x:c>
      <x:c r="F178" s="18" t="n">
        <x:f>'Form Responses 1'!F178</x:f>
        <x:v>0</x:v>
      </x:c>
      <x:c r="G178" s="18" t="n">
        <x:f>'Form Responses 1'!G178</x:f>
        <x:v>0</x:v>
      </x:c>
      <x:c r="H178" s="18" t="str">
        <x:f>IF($C178="","",IFERROR(VLOOKUP($C178,Matches!$A$2:$Q$200,5,FALSE),"Unknown"))</x:f>
      </x:c>
      <x:c r="I178" s="60" t="str">
        <x:f>IF($C178="","",IFERROR(VLOOKUP($C178,Matches!$A$2:$Q$200,16,FALSE),""))</x:f>
      </x:c>
      <x:c r="J178" s="18" t="str">
        <x:f>IF($C178="","",IFERROR(VLOOKUP($C178,Matches!$A$2:$Q$200,11,FALSE),""))</x:f>
      </x:c>
      <x:c r="K178" s="18" t="str">
        <x:f>IF($C178="","",IFERROR(VLOOKUP($C178,Matches!$A$2:$Q$200,12,FALSE),""))</x:f>
      </x:c>
      <x:c r="L178" s="18" t="str">
        <x:f>IF($A178="","",IF($C178=1,"Yes",IF(OR($I178="",$A178&lt;$I178),"Yes","Late")))</x:f>
      </x:c>
      <x:c r="M178" s="66" t="str">
        <x:f>IF($A178="","",IF($L178&lt;&gt;"Yes",0,IF($E178="",0,IF($J178="",0,IF($H178="Group",IF($E178=$J178,Setup!$H$2,Setup!$H$3),IF($E178=$K178,Setup!$H$2,Setup!$H$3))))))</x:f>
      </x:c>
      <x:c r="N178" s="66" t="str">
        <x:f>IF($A178="","",IF($L178&lt;&gt;"Yes",0,IF(OR($F178="",$G178=""),0,IF(AND($F178=VLOOKUP($C178,Matches!$A$2:$Q$200,9,FALSE),$G178=VLOOKUP($C178,Matches!$A$2:$Q$200,10,FALSE)),Setup!$H$5,0))))</x:f>
      </x:c>
      <x:c r="O178" s="66" t="str">
        <x:f>IF($A178="","",$M178+$N178)</x:f>
      </x:c>
      <x:c r="P178" s="18" t="str">
        <x:f>IF($A178="","",IF($L178="Late","Late - 0 points",IF($J178="","Waiting for result",IF($O178&gt;0,"Scored",IF($O178&lt;0,"Wrong pick","No points")))))</x:f>
      </x:c>
    </x:row>
    <x:row r="179">
      <x:c r="A179" s="60" t="n">
        <x:f>'Form Responses 1'!A179</x:f>
        <x:v>0</x:v>
      </x:c>
      <x:c r="B179" s="18" t="n">
        <x:f>'Form Responses 1'!B179</x:f>
        <x:v>0</x:v>
      </x:c>
      <x:c r="C179" s="18" t="n">
        <x:f>'Form Responses 1'!C179</x:f>
        <x:v>0</x:v>
      </x:c>
      <x:c r="D179" s="18" t="n">
        <x:f>'Form Responses 1'!D179</x:f>
        <x:v>0</x:v>
      </x:c>
      <x:c r="E179" s="18" t="n">
        <x:f>'Form Responses 1'!E179</x:f>
        <x:v>0</x:v>
      </x:c>
      <x:c r="F179" s="18" t="n">
        <x:f>'Form Responses 1'!F179</x:f>
        <x:v>0</x:v>
      </x:c>
      <x:c r="G179" s="18" t="n">
        <x:f>'Form Responses 1'!G179</x:f>
        <x:v>0</x:v>
      </x:c>
      <x:c r="H179" s="18" t="str">
        <x:f>IF($C179="","",IFERROR(VLOOKUP($C179,Matches!$A$2:$Q$200,5,FALSE),"Unknown"))</x:f>
      </x:c>
      <x:c r="I179" s="60" t="str">
        <x:f>IF($C179="","",IFERROR(VLOOKUP($C179,Matches!$A$2:$Q$200,16,FALSE),""))</x:f>
      </x:c>
      <x:c r="J179" s="18" t="str">
        <x:f>IF($C179="","",IFERROR(VLOOKUP($C179,Matches!$A$2:$Q$200,11,FALSE),""))</x:f>
      </x:c>
      <x:c r="K179" s="18" t="str">
        <x:f>IF($C179="","",IFERROR(VLOOKUP($C179,Matches!$A$2:$Q$200,12,FALSE),""))</x:f>
      </x:c>
      <x:c r="L179" s="18" t="str">
        <x:f>IF($A179="","",IF($C179=1,"Yes",IF(OR($I179="",$A179&lt;$I179),"Yes","Late")))</x:f>
      </x:c>
      <x:c r="M179" s="66" t="str">
        <x:f>IF($A179="","",IF($L179&lt;&gt;"Yes",0,IF($E179="",0,IF($J179="",0,IF($H179="Group",IF($E179=$J179,Setup!$H$2,Setup!$H$3),IF($E179=$K179,Setup!$H$2,Setup!$H$3))))))</x:f>
      </x:c>
      <x:c r="N179" s="66" t="str">
        <x:f>IF($A179="","",IF($L179&lt;&gt;"Yes",0,IF(OR($F179="",$G179=""),0,IF(AND($F179=VLOOKUP($C179,Matches!$A$2:$Q$200,9,FALSE),$G179=VLOOKUP($C179,Matches!$A$2:$Q$200,10,FALSE)),Setup!$H$5,0))))</x:f>
      </x:c>
      <x:c r="O179" s="66" t="str">
        <x:f>IF($A179="","",$M179+$N179)</x:f>
      </x:c>
      <x:c r="P179" s="18" t="str">
        <x:f>IF($A179="","",IF($L179="Late","Late - 0 points",IF($J179="","Waiting for result",IF($O179&gt;0,"Scored",IF($O179&lt;0,"Wrong pick","No points")))))</x:f>
      </x:c>
    </x:row>
    <x:row r="180">
      <x:c r="A180" s="60" t="n">
        <x:f>'Form Responses 1'!A180</x:f>
        <x:v>0</x:v>
      </x:c>
      <x:c r="B180" s="18" t="n">
        <x:f>'Form Responses 1'!B180</x:f>
        <x:v>0</x:v>
      </x:c>
      <x:c r="C180" s="18" t="n">
        <x:f>'Form Responses 1'!C180</x:f>
        <x:v>0</x:v>
      </x:c>
      <x:c r="D180" s="18" t="n">
        <x:f>'Form Responses 1'!D180</x:f>
        <x:v>0</x:v>
      </x:c>
      <x:c r="E180" s="18" t="n">
        <x:f>'Form Responses 1'!E180</x:f>
        <x:v>0</x:v>
      </x:c>
      <x:c r="F180" s="18" t="n">
        <x:f>'Form Responses 1'!F180</x:f>
        <x:v>0</x:v>
      </x:c>
      <x:c r="G180" s="18" t="n">
        <x:f>'Form Responses 1'!G180</x:f>
        <x:v>0</x:v>
      </x:c>
      <x:c r="H180" s="18" t="str">
        <x:f>IF($C180="","",IFERROR(VLOOKUP($C180,Matches!$A$2:$Q$200,5,FALSE),"Unknown"))</x:f>
      </x:c>
      <x:c r="I180" s="60" t="str">
        <x:f>IF($C180="","",IFERROR(VLOOKUP($C180,Matches!$A$2:$Q$200,16,FALSE),""))</x:f>
      </x:c>
      <x:c r="J180" s="18" t="str">
        <x:f>IF($C180="","",IFERROR(VLOOKUP($C180,Matches!$A$2:$Q$200,11,FALSE),""))</x:f>
      </x:c>
      <x:c r="K180" s="18" t="str">
        <x:f>IF($C180="","",IFERROR(VLOOKUP($C180,Matches!$A$2:$Q$200,12,FALSE),""))</x:f>
      </x:c>
      <x:c r="L180" s="18" t="str">
        <x:f>IF($A180="","",IF($C180=1,"Yes",IF(OR($I180="",$A180&lt;$I180),"Yes","Late")))</x:f>
      </x:c>
      <x:c r="M180" s="66" t="str">
        <x:f>IF($A180="","",IF($L180&lt;&gt;"Yes",0,IF($E180="",0,IF($J180="",0,IF($H180="Group",IF($E180=$J180,Setup!$H$2,Setup!$H$3),IF($E180=$K180,Setup!$H$2,Setup!$H$3))))))</x:f>
      </x:c>
      <x:c r="N180" s="66" t="str">
        <x:f>IF($A180="","",IF($L180&lt;&gt;"Yes",0,IF(OR($F180="",$G180=""),0,IF(AND($F180=VLOOKUP($C180,Matches!$A$2:$Q$200,9,FALSE),$G180=VLOOKUP($C180,Matches!$A$2:$Q$200,10,FALSE)),Setup!$H$5,0))))</x:f>
      </x:c>
      <x:c r="O180" s="66" t="str">
        <x:f>IF($A180="","",$M180+$N180)</x:f>
      </x:c>
      <x:c r="P180" s="18" t="str">
        <x:f>IF($A180="","",IF($L180="Late","Late - 0 points",IF($J180="","Waiting for result",IF($O180&gt;0,"Scored",IF($O180&lt;0,"Wrong pick","No points")))))</x:f>
      </x:c>
    </x:row>
    <x:row r="181">
      <x:c r="A181" s="60" t="n">
        <x:f>'Form Responses 1'!A181</x:f>
        <x:v>0</x:v>
      </x:c>
      <x:c r="B181" s="18" t="n">
        <x:f>'Form Responses 1'!B181</x:f>
        <x:v>0</x:v>
      </x:c>
      <x:c r="C181" s="18" t="n">
        <x:f>'Form Responses 1'!C181</x:f>
        <x:v>0</x:v>
      </x:c>
      <x:c r="D181" s="18" t="n">
        <x:f>'Form Responses 1'!D181</x:f>
        <x:v>0</x:v>
      </x:c>
      <x:c r="E181" s="18" t="n">
        <x:f>'Form Responses 1'!E181</x:f>
        <x:v>0</x:v>
      </x:c>
      <x:c r="F181" s="18" t="n">
        <x:f>'Form Responses 1'!F181</x:f>
        <x:v>0</x:v>
      </x:c>
      <x:c r="G181" s="18" t="n">
        <x:f>'Form Responses 1'!G181</x:f>
        <x:v>0</x:v>
      </x:c>
      <x:c r="H181" s="18" t="str">
        <x:f>IF($C181="","",IFERROR(VLOOKUP($C181,Matches!$A$2:$Q$200,5,FALSE),"Unknown"))</x:f>
      </x:c>
      <x:c r="I181" s="60" t="str">
        <x:f>IF($C181="","",IFERROR(VLOOKUP($C181,Matches!$A$2:$Q$200,16,FALSE),""))</x:f>
      </x:c>
      <x:c r="J181" s="18" t="str">
        <x:f>IF($C181="","",IFERROR(VLOOKUP($C181,Matches!$A$2:$Q$200,11,FALSE),""))</x:f>
      </x:c>
      <x:c r="K181" s="18" t="str">
        <x:f>IF($C181="","",IFERROR(VLOOKUP($C181,Matches!$A$2:$Q$200,12,FALSE),""))</x:f>
      </x:c>
      <x:c r="L181" s="18" t="str">
        <x:f>IF($A181="","",IF($C181=1,"Yes",IF(OR($I181="",$A181&lt;$I181),"Yes","Late")))</x:f>
      </x:c>
      <x:c r="M181" s="66" t="str">
        <x:f>IF($A181="","",IF($L181&lt;&gt;"Yes",0,IF($E181="",0,IF($J181="",0,IF($H181="Group",IF($E181=$J181,Setup!$H$2,Setup!$H$3),IF($E181=$K181,Setup!$H$2,Setup!$H$3))))))</x:f>
      </x:c>
      <x:c r="N181" s="66" t="str">
        <x:f>IF($A181="","",IF($L181&lt;&gt;"Yes",0,IF(OR($F181="",$G181=""),0,IF(AND($F181=VLOOKUP($C181,Matches!$A$2:$Q$200,9,FALSE),$G181=VLOOKUP($C181,Matches!$A$2:$Q$200,10,FALSE)),Setup!$H$5,0))))</x:f>
      </x:c>
      <x:c r="O181" s="66" t="str">
        <x:f>IF($A181="","",$M181+$N181)</x:f>
      </x:c>
      <x:c r="P181" s="18" t="str">
        <x:f>IF($A181="","",IF($L181="Late","Late - 0 points",IF($J181="","Waiting for result",IF($O181&gt;0,"Scored",IF($O181&lt;0,"Wrong pick","No points")))))</x:f>
      </x:c>
    </x:row>
    <x:row r="182">
      <x:c r="A182" s="60" t="n">
        <x:f>'Form Responses 1'!A182</x:f>
        <x:v>0</x:v>
      </x:c>
      <x:c r="B182" s="18" t="n">
        <x:f>'Form Responses 1'!B182</x:f>
        <x:v>0</x:v>
      </x:c>
      <x:c r="C182" s="18" t="n">
        <x:f>'Form Responses 1'!C182</x:f>
        <x:v>0</x:v>
      </x:c>
      <x:c r="D182" s="18" t="n">
        <x:f>'Form Responses 1'!D182</x:f>
        <x:v>0</x:v>
      </x:c>
      <x:c r="E182" s="18" t="n">
        <x:f>'Form Responses 1'!E182</x:f>
        <x:v>0</x:v>
      </x:c>
      <x:c r="F182" s="18" t="n">
        <x:f>'Form Responses 1'!F182</x:f>
        <x:v>0</x:v>
      </x:c>
      <x:c r="G182" s="18" t="n">
        <x:f>'Form Responses 1'!G182</x:f>
        <x:v>0</x:v>
      </x:c>
      <x:c r="H182" s="18" t="str">
        <x:f>IF($C182="","",IFERROR(VLOOKUP($C182,Matches!$A$2:$Q$200,5,FALSE),"Unknown"))</x:f>
      </x:c>
      <x:c r="I182" s="60" t="str">
        <x:f>IF($C182="","",IFERROR(VLOOKUP($C182,Matches!$A$2:$Q$200,16,FALSE),""))</x:f>
      </x:c>
      <x:c r="J182" s="18" t="str">
        <x:f>IF($C182="","",IFERROR(VLOOKUP($C182,Matches!$A$2:$Q$200,11,FALSE),""))</x:f>
      </x:c>
      <x:c r="K182" s="18" t="str">
        <x:f>IF($C182="","",IFERROR(VLOOKUP($C182,Matches!$A$2:$Q$200,12,FALSE),""))</x:f>
      </x:c>
      <x:c r="L182" s="18" t="str">
        <x:f>IF($A182="","",IF($C182=1,"Yes",IF(OR($I182="",$A182&lt;$I182),"Yes","Late")))</x:f>
      </x:c>
      <x:c r="M182" s="66" t="str">
        <x:f>IF($A182="","",IF($L182&lt;&gt;"Yes",0,IF($E182="",0,IF($J182="",0,IF($H182="Group",IF($E182=$J182,Setup!$H$2,Setup!$H$3),IF($E182=$K182,Setup!$H$2,Setup!$H$3))))))</x:f>
      </x:c>
      <x:c r="N182" s="66" t="str">
        <x:f>IF($A182="","",IF($L182&lt;&gt;"Yes",0,IF(OR($F182="",$G182=""),0,IF(AND($F182=VLOOKUP($C182,Matches!$A$2:$Q$200,9,FALSE),$G182=VLOOKUP($C182,Matches!$A$2:$Q$200,10,FALSE)),Setup!$H$5,0))))</x:f>
      </x:c>
      <x:c r="O182" s="66" t="str">
        <x:f>IF($A182="","",$M182+$N182)</x:f>
      </x:c>
      <x:c r="P182" s="18" t="str">
        <x:f>IF($A182="","",IF($L182="Late","Late - 0 points",IF($J182="","Waiting for result",IF($O182&gt;0,"Scored",IF($O182&lt;0,"Wrong pick","No points")))))</x:f>
      </x:c>
    </x:row>
    <x:row r="183">
      <x:c r="A183" s="60" t="n">
        <x:f>'Form Responses 1'!A183</x:f>
        <x:v>0</x:v>
      </x:c>
      <x:c r="B183" s="18" t="n">
        <x:f>'Form Responses 1'!B183</x:f>
        <x:v>0</x:v>
      </x:c>
      <x:c r="C183" s="18" t="n">
        <x:f>'Form Responses 1'!C183</x:f>
        <x:v>0</x:v>
      </x:c>
      <x:c r="D183" s="18" t="n">
        <x:f>'Form Responses 1'!D183</x:f>
        <x:v>0</x:v>
      </x:c>
      <x:c r="E183" s="18" t="n">
        <x:f>'Form Responses 1'!E183</x:f>
        <x:v>0</x:v>
      </x:c>
      <x:c r="F183" s="18" t="n">
        <x:f>'Form Responses 1'!F183</x:f>
        <x:v>0</x:v>
      </x:c>
      <x:c r="G183" s="18" t="n">
        <x:f>'Form Responses 1'!G183</x:f>
        <x:v>0</x:v>
      </x:c>
      <x:c r="H183" s="18" t="str">
        <x:f>IF($C183="","",IFERROR(VLOOKUP($C183,Matches!$A$2:$Q$200,5,FALSE),"Unknown"))</x:f>
      </x:c>
      <x:c r="I183" s="60" t="str">
        <x:f>IF($C183="","",IFERROR(VLOOKUP($C183,Matches!$A$2:$Q$200,16,FALSE),""))</x:f>
      </x:c>
      <x:c r="J183" s="18" t="str">
        <x:f>IF($C183="","",IFERROR(VLOOKUP($C183,Matches!$A$2:$Q$200,11,FALSE),""))</x:f>
      </x:c>
      <x:c r="K183" s="18" t="str">
        <x:f>IF($C183="","",IFERROR(VLOOKUP($C183,Matches!$A$2:$Q$200,12,FALSE),""))</x:f>
      </x:c>
      <x:c r="L183" s="18" t="str">
        <x:f>IF($A183="","",IF($C183=1,"Yes",IF(OR($I183="",$A183&lt;$I183),"Yes","Late")))</x:f>
      </x:c>
      <x:c r="M183" s="66" t="str">
        <x:f>IF($A183="","",IF($L183&lt;&gt;"Yes",0,IF($E183="",0,IF($J183="",0,IF($H183="Group",IF($E183=$J183,Setup!$H$2,Setup!$H$3),IF($E183=$K183,Setup!$H$2,Setup!$H$3))))))</x:f>
      </x:c>
      <x:c r="N183" s="66" t="str">
        <x:f>IF($A183="","",IF($L183&lt;&gt;"Yes",0,IF(OR($F183="",$G183=""),0,IF(AND($F183=VLOOKUP($C183,Matches!$A$2:$Q$200,9,FALSE),$G183=VLOOKUP($C183,Matches!$A$2:$Q$200,10,FALSE)),Setup!$H$5,0))))</x:f>
      </x:c>
      <x:c r="O183" s="66" t="str">
        <x:f>IF($A183="","",$M183+$N183)</x:f>
      </x:c>
      <x:c r="P183" s="18" t="str">
        <x:f>IF($A183="","",IF($L183="Late","Late - 0 points",IF($J183="","Waiting for result",IF($O183&gt;0,"Scored",IF($O183&lt;0,"Wrong pick","No points")))))</x:f>
      </x:c>
    </x:row>
    <x:row r="184">
      <x:c r="A184" s="60" t="n">
        <x:f>'Form Responses 1'!A184</x:f>
        <x:v>0</x:v>
      </x:c>
      <x:c r="B184" s="18" t="n">
        <x:f>'Form Responses 1'!B184</x:f>
        <x:v>0</x:v>
      </x:c>
      <x:c r="C184" s="18" t="n">
        <x:f>'Form Responses 1'!C184</x:f>
        <x:v>0</x:v>
      </x:c>
      <x:c r="D184" s="18" t="n">
        <x:f>'Form Responses 1'!D184</x:f>
        <x:v>0</x:v>
      </x:c>
      <x:c r="E184" s="18" t="n">
        <x:f>'Form Responses 1'!E184</x:f>
        <x:v>0</x:v>
      </x:c>
      <x:c r="F184" s="18" t="n">
        <x:f>'Form Responses 1'!F184</x:f>
        <x:v>0</x:v>
      </x:c>
      <x:c r="G184" s="18" t="n">
        <x:f>'Form Responses 1'!G184</x:f>
        <x:v>0</x:v>
      </x:c>
      <x:c r="H184" s="18" t="str">
        <x:f>IF($C184="","",IFERROR(VLOOKUP($C184,Matches!$A$2:$Q$200,5,FALSE),"Unknown"))</x:f>
      </x:c>
      <x:c r="I184" s="60" t="str">
        <x:f>IF($C184="","",IFERROR(VLOOKUP($C184,Matches!$A$2:$Q$200,16,FALSE),""))</x:f>
      </x:c>
      <x:c r="J184" s="18" t="str">
        <x:f>IF($C184="","",IFERROR(VLOOKUP($C184,Matches!$A$2:$Q$200,11,FALSE),""))</x:f>
      </x:c>
      <x:c r="K184" s="18" t="str">
        <x:f>IF($C184="","",IFERROR(VLOOKUP($C184,Matches!$A$2:$Q$200,12,FALSE),""))</x:f>
      </x:c>
      <x:c r="L184" s="18" t="str">
        <x:f>IF($A184="","",IF($C184=1,"Yes",IF(OR($I184="",$A184&lt;$I184),"Yes","Late")))</x:f>
      </x:c>
      <x:c r="M184" s="66" t="str">
        <x:f>IF($A184="","",IF($L184&lt;&gt;"Yes",0,IF($E184="",0,IF($J184="",0,IF($H184="Group",IF($E184=$J184,Setup!$H$2,Setup!$H$3),IF($E184=$K184,Setup!$H$2,Setup!$H$3))))))</x:f>
      </x:c>
      <x:c r="N184" s="66" t="str">
        <x:f>IF($A184="","",IF($L184&lt;&gt;"Yes",0,IF(OR($F184="",$G184=""),0,IF(AND($F184=VLOOKUP($C184,Matches!$A$2:$Q$200,9,FALSE),$G184=VLOOKUP($C184,Matches!$A$2:$Q$200,10,FALSE)),Setup!$H$5,0))))</x:f>
      </x:c>
      <x:c r="O184" s="66" t="str">
        <x:f>IF($A184="","",$M184+$N184)</x:f>
      </x:c>
      <x:c r="P184" s="18" t="str">
        <x:f>IF($A184="","",IF($L184="Late","Late - 0 points",IF($J184="","Waiting for result",IF($O184&gt;0,"Scored",IF($O184&lt;0,"Wrong pick","No points")))))</x:f>
      </x:c>
    </x:row>
    <x:row r="185">
      <x:c r="A185" s="60" t="n">
        <x:f>'Form Responses 1'!A185</x:f>
        <x:v>0</x:v>
      </x:c>
      <x:c r="B185" s="18" t="n">
        <x:f>'Form Responses 1'!B185</x:f>
        <x:v>0</x:v>
      </x:c>
      <x:c r="C185" s="18" t="n">
        <x:f>'Form Responses 1'!C185</x:f>
        <x:v>0</x:v>
      </x:c>
      <x:c r="D185" s="18" t="n">
        <x:f>'Form Responses 1'!D185</x:f>
        <x:v>0</x:v>
      </x:c>
      <x:c r="E185" s="18" t="n">
        <x:f>'Form Responses 1'!E185</x:f>
        <x:v>0</x:v>
      </x:c>
      <x:c r="F185" s="18" t="n">
        <x:f>'Form Responses 1'!F185</x:f>
        <x:v>0</x:v>
      </x:c>
      <x:c r="G185" s="18" t="n">
        <x:f>'Form Responses 1'!G185</x:f>
        <x:v>0</x:v>
      </x:c>
      <x:c r="H185" s="18" t="str">
        <x:f>IF($C185="","",IFERROR(VLOOKUP($C185,Matches!$A$2:$Q$200,5,FALSE),"Unknown"))</x:f>
      </x:c>
      <x:c r="I185" s="60" t="str">
        <x:f>IF($C185="","",IFERROR(VLOOKUP($C185,Matches!$A$2:$Q$200,16,FALSE),""))</x:f>
      </x:c>
      <x:c r="J185" s="18" t="str">
        <x:f>IF($C185="","",IFERROR(VLOOKUP($C185,Matches!$A$2:$Q$200,11,FALSE),""))</x:f>
      </x:c>
      <x:c r="K185" s="18" t="str">
        <x:f>IF($C185="","",IFERROR(VLOOKUP($C185,Matches!$A$2:$Q$200,12,FALSE),""))</x:f>
      </x:c>
      <x:c r="L185" s="18" t="str">
        <x:f>IF($A185="","",IF($C185=1,"Yes",IF(OR($I185="",$A185&lt;$I185),"Yes","Late")))</x:f>
      </x:c>
      <x:c r="M185" s="66" t="str">
        <x:f>IF($A185="","",IF($L185&lt;&gt;"Yes",0,IF($E185="",0,IF($J185="",0,IF($H185="Group",IF($E185=$J185,Setup!$H$2,Setup!$H$3),IF($E185=$K185,Setup!$H$2,Setup!$H$3))))))</x:f>
      </x:c>
      <x:c r="N185" s="66" t="str">
        <x:f>IF($A185="","",IF($L185&lt;&gt;"Yes",0,IF(OR($F185="",$G185=""),0,IF(AND($F185=VLOOKUP($C185,Matches!$A$2:$Q$200,9,FALSE),$G185=VLOOKUP($C185,Matches!$A$2:$Q$200,10,FALSE)),Setup!$H$5,0))))</x:f>
      </x:c>
      <x:c r="O185" s="66" t="str">
        <x:f>IF($A185="","",$M185+$N185)</x:f>
      </x:c>
      <x:c r="P185" s="18" t="str">
        <x:f>IF($A185="","",IF($L185="Late","Late - 0 points",IF($J185="","Waiting for result",IF($O185&gt;0,"Scored",IF($O185&lt;0,"Wrong pick","No points")))))</x:f>
      </x:c>
    </x:row>
    <x:row r="186">
      <x:c r="A186" s="60" t="n">
        <x:f>'Form Responses 1'!A186</x:f>
        <x:v>0</x:v>
      </x:c>
      <x:c r="B186" s="18" t="n">
        <x:f>'Form Responses 1'!B186</x:f>
        <x:v>0</x:v>
      </x:c>
      <x:c r="C186" s="18" t="n">
        <x:f>'Form Responses 1'!C186</x:f>
        <x:v>0</x:v>
      </x:c>
      <x:c r="D186" s="18" t="n">
        <x:f>'Form Responses 1'!D186</x:f>
        <x:v>0</x:v>
      </x:c>
      <x:c r="E186" s="18" t="n">
        <x:f>'Form Responses 1'!E186</x:f>
        <x:v>0</x:v>
      </x:c>
      <x:c r="F186" s="18" t="n">
        <x:f>'Form Responses 1'!F186</x:f>
        <x:v>0</x:v>
      </x:c>
      <x:c r="G186" s="18" t="n">
        <x:f>'Form Responses 1'!G186</x:f>
        <x:v>0</x:v>
      </x:c>
      <x:c r="H186" s="18" t="str">
        <x:f>IF($C186="","",IFERROR(VLOOKUP($C186,Matches!$A$2:$Q$200,5,FALSE),"Unknown"))</x:f>
      </x:c>
      <x:c r="I186" s="60" t="str">
        <x:f>IF($C186="","",IFERROR(VLOOKUP($C186,Matches!$A$2:$Q$200,16,FALSE),""))</x:f>
      </x:c>
      <x:c r="J186" s="18" t="str">
        <x:f>IF($C186="","",IFERROR(VLOOKUP($C186,Matches!$A$2:$Q$200,11,FALSE),""))</x:f>
      </x:c>
      <x:c r="K186" s="18" t="str">
        <x:f>IF($C186="","",IFERROR(VLOOKUP($C186,Matches!$A$2:$Q$200,12,FALSE),""))</x:f>
      </x:c>
      <x:c r="L186" s="18" t="str">
        <x:f>IF($A186="","",IF($C186=1,"Yes",IF(OR($I186="",$A186&lt;$I186),"Yes","Late")))</x:f>
      </x:c>
      <x:c r="M186" s="66" t="str">
        <x:f>IF($A186="","",IF($L186&lt;&gt;"Yes",0,IF($E186="",0,IF($J186="",0,IF($H186="Group",IF($E186=$J186,Setup!$H$2,Setup!$H$3),IF($E186=$K186,Setup!$H$2,Setup!$H$3))))))</x:f>
      </x:c>
      <x:c r="N186" s="66" t="str">
        <x:f>IF($A186="","",IF($L186&lt;&gt;"Yes",0,IF(OR($F186="",$G186=""),0,IF(AND($F186=VLOOKUP($C186,Matches!$A$2:$Q$200,9,FALSE),$G186=VLOOKUP($C186,Matches!$A$2:$Q$200,10,FALSE)),Setup!$H$5,0))))</x:f>
      </x:c>
      <x:c r="O186" s="66" t="str">
        <x:f>IF($A186="","",$M186+$N186)</x:f>
      </x:c>
      <x:c r="P186" s="18" t="str">
        <x:f>IF($A186="","",IF($L186="Late","Late - 0 points",IF($J186="","Waiting for result",IF($O186&gt;0,"Scored",IF($O186&lt;0,"Wrong pick","No points")))))</x:f>
      </x:c>
    </x:row>
    <x:row r="187">
      <x:c r="A187" s="60" t="n">
        <x:f>'Form Responses 1'!A187</x:f>
        <x:v>0</x:v>
      </x:c>
      <x:c r="B187" s="18" t="n">
        <x:f>'Form Responses 1'!B187</x:f>
        <x:v>0</x:v>
      </x:c>
      <x:c r="C187" s="18" t="n">
        <x:f>'Form Responses 1'!C187</x:f>
        <x:v>0</x:v>
      </x:c>
      <x:c r="D187" s="18" t="n">
        <x:f>'Form Responses 1'!D187</x:f>
        <x:v>0</x:v>
      </x:c>
      <x:c r="E187" s="18" t="n">
        <x:f>'Form Responses 1'!E187</x:f>
        <x:v>0</x:v>
      </x:c>
      <x:c r="F187" s="18" t="n">
        <x:f>'Form Responses 1'!F187</x:f>
        <x:v>0</x:v>
      </x:c>
      <x:c r="G187" s="18" t="n">
        <x:f>'Form Responses 1'!G187</x:f>
        <x:v>0</x:v>
      </x:c>
      <x:c r="H187" s="18" t="str">
        <x:f>IF($C187="","",IFERROR(VLOOKUP($C187,Matches!$A$2:$Q$200,5,FALSE),"Unknown"))</x:f>
      </x:c>
      <x:c r="I187" s="60" t="str">
        <x:f>IF($C187="","",IFERROR(VLOOKUP($C187,Matches!$A$2:$Q$200,16,FALSE),""))</x:f>
      </x:c>
      <x:c r="J187" s="18" t="str">
        <x:f>IF($C187="","",IFERROR(VLOOKUP($C187,Matches!$A$2:$Q$200,11,FALSE),""))</x:f>
      </x:c>
      <x:c r="K187" s="18" t="str">
        <x:f>IF($C187="","",IFERROR(VLOOKUP($C187,Matches!$A$2:$Q$200,12,FALSE),""))</x:f>
      </x:c>
      <x:c r="L187" s="18" t="str">
        <x:f>IF($A187="","",IF($C187=1,"Yes",IF(OR($I187="",$A187&lt;$I187),"Yes","Late")))</x:f>
      </x:c>
      <x:c r="M187" s="66" t="str">
        <x:f>IF($A187="","",IF($L187&lt;&gt;"Yes",0,IF($E187="",0,IF($J187="",0,IF($H187="Group",IF($E187=$J187,Setup!$H$2,Setup!$H$3),IF($E187=$K187,Setup!$H$2,Setup!$H$3))))))</x:f>
      </x:c>
      <x:c r="N187" s="66" t="str">
        <x:f>IF($A187="","",IF($L187&lt;&gt;"Yes",0,IF(OR($F187="",$G187=""),0,IF(AND($F187=VLOOKUP($C187,Matches!$A$2:$Q$200,9,FALSE),$G187=VLOOKUP($C187,Matches!$A$2:$Q$200,10,FALSE)),Setup!$H$5,0))))</x:f>
      </x:c>
      <x:c r="O187" s="66" t="str">
        <x:f>IF($A187="","",$M187+$N187)</x:f>
      </x:c>
      <x:c r="P187" s="18" t="str">
        <x:f>IF($A187="","",IF($L187="Late","Late - 0 points",IF($J187="","Waiting for result",IF($O187&gt;0,"Scored",IF($O187&lt;0,"Wrong pick","No points")))))</x:f>
      </x:c>
    </x:row>
    <x:row r="188">
      <x:c r="A188" s="60" t="n">
        <x:f>'Form Responses 1'!A188</x:f>
        <x:v>0</x:v>
      </x:c>
      <x:c r="B188" s="18" t="n">
        <x:f>'Form Responses 1'!B188</x:f>
        <x:v>0</x:v>
      </x:c>
      <x:c r="C188" s="18" t="n">
        <x:f>'Form Responses 1'!C188</x:f>
        <x:v>0</x:v>
      </x:c>
      <x:c r="D188" s="18" t="n">
        <x:f>'Form Responses 1'!D188</x:f>
        <x:v>0</x:v>
      </x:c>
      <x:c r="E188" s="18" t="n">
        <x:f>'Form Responses 1'!E188</x:f>
        <x:v>0</x:v>
      </x:c>
      <x:c r="F188" s="18" t="n">
        <x:f>'Form Responses 1'!F188</x:f>
        <x:v>0</x:v>
      </x:c>
      <x:c r="G188" s="18" t="n">
        <x:f>'Form Responses 1'!G188</x:f>
        <x:v>0</x:v>
      </x:c>
      <x:c r="H188" s="18" t="str">
        <x:f>IF($C188="","",IFERROR(VLOOKUP($C188,Matches!$A$2:$Q$200,5,FALSE),"Unknown"))</x:f>
      </x:c>
      <x:c r="I188" s="60" t="str">
        <x:f>IF($C188="","",IFERROR(VLOOKUP($C188,Matches!$A$2:$Q$200,16,FALSE),""))</x:f>
      </x:c>
      <x:c r="J188" s="18" t="str">
        <x:f>IF($C188="","",IFERROR(VLOOKUP($C188,Matches!$A$2:$Q$200,11,FALSE),""))</x:f>
      </x:c>
      <x:c r="K188" s="18" t="str">
        <x:f>IF($C188="","",IFERROR(VLOOKUP($C188,Matches!$A$2:$Q$200,12,FALSE),""))</x:f>
      </x:c>
      <x:c r="L188" s="18" t="str">
        <x:f>IF($A188="","",IF($C188=1,"Yes",IF(OR($I188="",$A188&lt;$I188),"Yes","Late")))</x:f>
      </x:c>
      <x:c r="M188" s="66" t="str">
        <x:f>IF($A188="","",IF($L188&lt;&gt;"Yes",0,IF($E188="",0,IF($J188="",0,IF($H188="Group",IF($E188=$J188,Setup!$H$2,Setup!$H$3),IF($E188=$K188,Setup!$H$2,Setup!$H$3))))))</x:f>
      </x:c>
      <x:c r="N188" s="66" t="str">
        <x:f>IF($A188="","",IF($L188&lt;&gt;"Yes",0,IF(OR($F188="",$G188=""),0,IF(AND($F188=VLOOKUP($C188,Matches!$A$2:$Q$200,9,FALSE),$G188=VLOOKUP($C188,Matches!$A$2:$Q$200,10,FALSE)),Setup!$H$5,0))))</x:f>
      </x:c>
      <x:c r="O188" s="66" t="str">
        <x:f>IF($A188="","",$M188+$N188)</x:f>
      </x:c>
      <x:c r="P188" s="18" t="str">
        <x:f>IF($A188="","",IF($L188="Late","Late - 0 points",IF($J188="","Waiting for result",IF($O188&gt;0,"Scored",IF($O188&lt;0,"Wrong pick","No points")))))</x:f>
      </x:c>
    </x:row>
    <x:row r="189">
      <x:c r="A189" s="60" t="n">
        <x:f>'Form Responses 1'!A189</x:f>
        <x:v>0</x:v>
      </x:c>
      <x:c r="B189" s="18" t="n">
        <x:f>'Form Responses 1'!B189</x:f>
        <x:v>0</x:v>
      </x:c>
      <x:c r="C189" s="18" t="n">
        <x:f>'Form Responses 1'!C189</x:f>
        <x:v>0</x:v>
      </x:c>
      <x:c r="D189" s="18" t="n">
        <x:f>'Form Responses 1'!D189</x:f>
        <x:v>0</x:v>
      </x:c>
      <x:c r="E189" s="18" t="n">
        <x:f>'Form Responses 1'!E189</x:f>
        <x:v>0</x:v>
      </x:c>
      <x:c r="F189" s="18" t="n">
        <x:f>'Form Responses 1'!F189</x:f>
        <x:v>0</x:v>
      </x:c>
      <x:c r="G189" s="18" t="n">
        <x:f>'Form Responses 1'!G189</x:f>
        <x:v>0</x:v>
      </x:c>
      <x:c r="H189" s="18" t="str">
        <x:f>IF($C189="","",IFERROR(VLOOKUP($C189,Matches!$A$2:$Q$200,5,FALSE),"Unknown"))</x:f>
      </x:c>
      <x:c r="I189" s="60" t="str">
        <x:f>IF($C189="","",IFERROR(VLOOKUP($C189,Matches!$A$2:$Q$200,16,FALSE),""))</x:f>
      </x:c>
      <x:c r="J189" s="18" t="str">
        <x:f>IF($C189="","",IFERROR(VLOOKUP($C189,Matches!$A$2:$Q$200,11,FALSE),""))</x:f>
      </x:c>
      <x:c r="K189" s="18" t="str">
        <x:f>IF($C189="","",IFERROR(VLOOKUP($C189,Matches!$A$2:$Q$200,12,FALSE),""))</x:f>
      </x:c>
      <x:c r="L189" s="18" t="str">
        <x:f>IF($A189="","",IF($C189=1,"Yes",IF(OR($I189="",$A189&lt;$I189),"Yes","Late")))</x:f>
      </x:c>
      <x:c r="M189" s="66" t="str">
        <x:f>IF($A189="","",IF($L189&lt;&gt;"Yes",0,IF($E189="",0,IF($J189="",0,IF($H189="Group",IF($E189=$J189,Setup!$H$2,Setup!$H$3),IF($E189=$K189,Setup!$H$2,Setup!$H$3))))))</x:f>
      </x:c>
      <x:c r="N189" s="66" t="str">
        <x:f>IF($A189="","",IF($L189&lt;&gt;"Yes",0,IF(OR($F189="",$G189=""),0,IF(AND($F189=VLOOKUP($C189,Matches!$A$2:$Q$200,9,FALSE),$G189=VLOOKUP($C189,Matches!$A$2:$Q$200,10,FALSE)),Setup!$H$5,0))))</x:f>
      </x:c>
      <x:c r="O189" s="66" t="str">
        <x:f>IF($A189="","",$M189+$N189)</x:f>
      </x:c>
      <x:c r="P189" s="18" t="str">
        <x:f>IF($A189="","",IF($L189="Late","Late - 0 points",IF($J189="","Waiting for result",IF($O189&gt;0,"Scored",IF($O189&lt;0,"Wrong pick","No points")))))</x:f>
      </x:c>
    </x:row>
    <x:row r="190">
      <x:c r="A190" s="60" t="n">
        <x:f>'Form Responses 1'!A190</x:f>
        <x:v>0</x:v>
      </x:c>
      <x:c r="B190" s="18" t="n">
        <x:f>'Form Responses 1'!B190</x:f>
        <x:v>0</x:v>
      </x:c>
      <x:c r="C190" s="18" t="n">
        <x:f>'Form Responses 1'!C190</x:f>
        <x:v>0</x:v>
      </x:c>
      <x:c r="D190" s="18" t="n">
        <x:f>'Form Responses 1'!D190</x:f>
        <x:v>0</x:v>
      </x:c>
      <x:c r="E190" s="18" t="n">
        <x:f>'Form Responses 1'!E190</x:f>
        <x:v>0</x:v>
      </x:c>
      <x:c r="F190" s="18" t="n">
        <x:f>'Form Responses 1'!F190</x:f>
        <x:v>0</x:v>
      </x:c>
      <x:c r="G190" s="18" t="n">
        <x:f>'Form Responses 1'!G190</x:f>
        <x:v>0</x:v>
      </x:c>
      <x:c r="H190" s="18" t="str">
        <x:f>IF($C190="","",IFERROR(VLOOKUP($C190,Matches!$A$2:$Q$200,5,FALSE),"Unknown"))</x:f>
      </x:c>
      <x:c r="I190" s="60" t="str">
        <x:f>IF($C190="","",IFERROR(VLOOKUP($C190,Matches!$A$2:$Q$200,16,FALSE),""))</x:f>
      </x:c>
      <x:c r="J190" s="18" t="str">
        <x:f>IF($C190="","",IFERROR(VLOOKUP($C190,Matches!$A$2:$Q$200,11,FALSE),""))</x:f>
      </x:c>
      <x:c r="K190" s="18" t="str">
        <x:f>IF($C190="","",IFERROR(VLOOKUP($C190,Matches!$A$2:$Q$200,12,FALSE),""))</x:f>
      </x:c>
      <x:c r="L190" s="18" t="str">
        <x:f>IF($A190="","",IF($C190=1,"Yes",IF(OR($I190="",$A190&lt;$I190),"Yes","Late")))</x:f>
      </x:c>
      <x:c r="M190" s="66" t="str">
        <x:f>IF($A190="","",IF($L190&lt;&gt;"Yes",0,IF($E190="",0,IF($J190="",0,IF($H190="Group",IF($E190=$J190,Setup!$H$2,Setup!$H$3),IF($E190=$K190,Setup!$H$2,Setup!$H$3))))))</x:f>
      </x:c>
      <x:c r="N190" s="66" t="str">
        <x:f>IF($A190="","",IF($L190&lt;&gt;"Yes",0,IF(OR($F190="",$G190=""),0,IF(AND($F190=VLOOKUP($C190,Matches!$A$2:$Q$200,9,FALSE),$G190=VLOOKUP($C190,Matches!$A$2:$Q$200,10,FALSE)),Setup!$H$5,0))))</x:f>
      </x:c>
      <x:c r="O190" s="66" t="str">
        <x:f>IF($A190="","",$M190+$N190)</x:f>
      </x:c>
      <x:c r="P190" s="18" t="str">
        <x:f>IF($A190="","",IF($L190="Late","Late - 0 points",IF($J190="","Waiting for result",IF($O190&gt;0,"Scored",IF($O190&lt;0,"Wrong pick","No points")))))</x:f>
      </x:c>
    </x:row>
    <x:row r="191">
      <x:c r="A191" s="60" t="n">
        <x:f>'Form Responses 1'!A191</x:f>
        <x:v>0</x:v>
      </x:c>
      <x:c r="B191" s="18" t="n">
        <x:f>'Form Responses 1'!B191</x:f>
        <x:v>0</x:v>
      </x:c>
      <x:c r="C191" s="18" t="n">
        <x:f>'Form Responses 1'!C191</x:f>
        <x:v>0</x:v>
      </x:c>
      <x:c r="D191" s="18" t="n">
        <x:f>'Form Responses 1'!D191</x:f>
        <x:v>0</x:v>
      </x:c>
      <x:c r="E191" s="18" t="n">
        <x:f>'Form Responses 1'!E191</x:f>
        <x:v>0</x:v>
      </x:c>
      <x:c r="F191" s="18" t="n">
        <x:f>'Form Responses 1'!F191</x:f>
        <x:v>0</x:v>
      </x:c>
      <x:c r="G191" s="18" t="n">
        <x:f>'Form Responses 1'!G191</x:f>
        <x:v>0</x:v>
      </x:c>
      <x:c r="H191" s="18" t="str">
        <x:f>IF($C191="","",IFERROR(VLOOKUP($C191,Matches!$A$2:$Q$200,5,FALSE),"Unknown"))</x:f>
      </x:c>
      <x:c r="I191" s="60" t="str">
        <x:f>IF($C191="","",IFERROR(VLOOKUP($C191,Matches!$A$2:$Q$200,16,FALSE),""))</x:f>
      </x:c>
      <x:c r="J191" s="18" t="str">
        <x:f>IF($C191="","",IFERROR(VLOOKUP($C191,Matches!$A$2:$Q$200,11,FALSE),""))</x:f>
      </x:c>
      <x:c r="K191" s="18" t="str">
        <x:f>IF($C191="","",IFERROR(VLOOKUP($C191,Matches!$A$2:$Q$200,12,FALSE),""))</x:f>
      </x:c>
      <x:c r="L191" s="18" t="str">
        <x:f>IF($A191="","",IF($C191=1,"Yes",IF(OR($I191="",$A191&lt;$I191),"Yes","Late")))</x:f>
      </x:c>
      <x:c r="M191" s="66" t="str">
        <x:f>IF($A191="","",IF($L191&lt;&gt;"Yes",0,IF($E191="",0,IF($J191="",0,IF($H191="Group",IF($E191=$J191,Setup!$H$2,Setup!$H$3),IF($E191=$K191,Setup!$H$2,Setup!$H$3))))))</x:f>
      </x:c>
      <x:c r="N191" s="66" t="str">
        <x:f>IF($A191="","",IF($L191&lt;&gt;"Yes",0,IF(OR($F191="",$G191=""),0,IF(AND($F191=VLOOKUP($C191,Matches!$A$2:$Q$200,9,FALSE),$G191=VLOOKUP($C191,Matches!$A$2:$Q$200,10,FALSE)),Setup!$H$5,0))))</x:f>
      </x:c>
      <x:c r="O191" s="66" t="str">
        <x:f>IF($A191="","",$M191+$N191)</x:f>
      </x:c>
      <x:c r="P191" s="18" t="str">
        <x:f>IF($A191="","",IF($L191="Late","Late - 0 points",IF($J191="","Waiting for result",IF($O191&gt;0,"Scored",IF($O191&lt;0,"Wrong pick","No points")))))</x:f>
      </x:c>
    </x:row>
    <x:row r="192">
      <x:c r="A192" s="60" t="n">
        <x:f>'Form Responses 1'!A192</x:f>
        <x:v>0</x:v>
      </x:c>
      <x:c r="B192" s="18" t="n">
        <x:f>'Form Responses 1'!B192</x:f>
        <x:v>0</x:v>
      </x:c>
      <x:c r="C192" s="18" t="n">
        <x:f>'Form Responses 1'!C192</x:f>
        <x:v>0</x:v>
      </x:c>
      <x:c r="D192" s="18" t="n">
        <x:f>'Form Responses 1'!D192</x:f>
        <x:v>0</x:v>
      </x:c>
      <x:c r="E192" s="18" t="n">
        <x:f>'Form Responses 1'!E192</x:f>
        <x:v>0</x:v>
      </x:c>
      <x:c r="F192" s="18" t="n">
        <x:f>'Form Responses 1'!F192</x:f>
        <x:v>0</x:v>
      </x:c>
      <x:c r="G192" s="18" t="n">
        <x:f>'Form Responses 1'!G192</x:f>
        <x:v>0</x:v>
      </x:c>
      <x:c r="H192" s="18" t="str">
        <x:f>IF($C192="","",IFERROR(VLOOKUP($C192,Matches!$A$2:$Q$200,5,FALSE),"Unknown"))</x:f>
      </x:c>
      <x:c r="I192" s="60" t="str">
        <x:f>IF($C192="","",IFERROR(VLOOKUP($C192,Matches!$A$2:$Q$200,16,FALSE),""))</x:f>
      </x:c>
      <x:c r="J192" s="18" t="str">
        <x:f>IF($C192="","",IFERROR(VLOOKUP($C192,Matches!$A$2:$Q$200,11,FALSE),""))</x:f>
      </x:c>
      <x:c r="K192" s="18" t="str">
        <x:f>IF($C192="","",IFERROR(VLOOKUP($C192,Matches!$A$2:$Q$200,12,FALSE),""))</x:f>
      </x:c>
      <x:c r="L192" s="18" t="str">
        <x:f>IF($A192="","",IF($C192=1,"Yes",IF(OR($I192="",$A192&lt;$I192),"Yes","Late")))</x:f>
      </x:c>
      <x:c r="M192" s="66" t="str">
        <x:f>IF($A192="","",IF($L192&lt;&gt;"Yes",0,IF($E192="",0,IF($J192="",0,IF($H192="Group",IF($E192=$J192,Setup!$H$2,Setup!$H$3),IF($E192=$K192,Setup!$H$2,Setup!$H$3))))))</x:f>
      </x:c>
      <x:c r="N192" s="66" t="str">
        <x:f>IF($A192="","",IF($L192&lt;&gt;"Yes",0,IF(OR($F192="",$G192=""),0,IF(AND($F192=VLOOKUP($C192,Matches!$A$2:$Q$200,9,FALSE),$G192=VLOOKUP($C192,Matches!$A$2:$Q$200,10,FALSE)),Setup!$H$5,0))))</x:f>
      </x:c>
      <x:c r="O192" s="66" t="str">
        <x:f>IF($A192="","",$M192+$N192)</x:f>
      </x:c>
      <x:c r="P192" s="18" t="str">
        <x:f>IF($A192="","",IF($L192="Late","Late - 0 points",IF($J192="","Waiting for result",IF($O192&gt;0,"Scored",IF($O192&lt;0,"Wrong pick","No points")))))</x:f>
      </x:c>
    </x:row>
    <x:row r="193">
      <x:c r="A193" s="60" t="n">
        <x:f>'Form Responses 1'!A193</x:f>
        <x:v>0</x:v>
      </x:c>
      <x:c r="B193" s="18" t="n">
        <x:f>'Form Responses 1'!B193</x:f>
        <x:v>0</x:v>
      </x:c>
      <x:c r="C193" s="18" t="n">
        <x:f>'Form Responses 1'!C193</x:f>
        <x:v>0</x:v>
      </x:c>
      <x:c r="D193" s="18" t="n">
        <x:f>'Form Responses 1'!D193</x:f>
        <x:v>0</x:v>
      </x:c>
      <x:c r="E193" s="18" t="n">
        <x:f>'Form Responses 1'!E193</x:f>
        <x:v>0</x:v>
      </x:c>
      <x:c r="F193" s="18" t="n">
        <x:f>'Form Responses 1'!F193</x:f>
        <x:v>0</x:v>
      </x:c>
      <x:c r="G193" s="18" t="n">
        <x:f>'Form Responses 1'!G193</x:f>
        <x:v>0</x:v>
      </x:c>
      <x:c r="H193" s="18" t="str">
        <x:f>IF($C193="","",IFERROR(VLOOKUP($C193,Matches!$A$2:$Q$200,5,FALSE),"Unknown"))</x:f>
      </x:c>
      <x:c r="I193" s="60" t="str">
        <x:f>IF($C193="","",IFERROR(VLOOKUP($C193,Matches!$A$2:$Q$200,16,FALSE),""))</x:f>
      </x:c>
      <x:c r="J193" s="18" t="str">
        <x:f>IF($C193="","",IFERROR(VLOOKUP($C193,Matches!$A$2:$Q$200,11,FALSE),""))</x:f>
      </x:c>
      <x:c r="K193" s="18" t="str">
        <x:f>IF($C193="","",IFERROR(VLOOKUP($C193,Matches!$A$2:$Q$200,12,FALSE),""))</x:f>
      </x:c>
      <x:c r="L193" s="18" t="str">
        <x:f>IF($A193="","",IF($C193=1,"Yes",IF(OR($I193="",$A193&lt;$I193),"Yes","Late")))</x:f>
      </x:c>
      <x:c r="M193" s="66" t="str">
        <x:f>IF($A193="","",IF($L193&lt;&gt;"Yes",0,IF($E193="",0,IF($J193="",0,IF($H193="Group",IF($E193=$J193,Setup!$H$2,Setup!$H$3),IF($E193=$K193,Setup!$H$2,Setup!$H$3))))))</x:f>
      </x:c>
      <x:c r="N193" s="66" t="str">
        <x:f>IF($A193="","",IF($L193&lt;&gt;"Yes",0,IF(OR($F193="",$G193=""),0,IF(AND($F193=VLOOKUP($C193,Matches!$A$2:$Q$200,9,FALSE),$G193=VLOOKUP($C193,Matches!$A$2:$Q$200,10,FALSE)),Setup!$H$5,0))))</x:f>
      </x:c>
      <x:c r="O193" s="66" t="str">
        <x:f>IF($A193="","",$M193+$N193)</x:f>
      </x:c>
      <x:c r="P193" s="18" t="str">
        <x:f>IF($A193="","",IF($L193="Late","Late - 0 points",IF($J193="","Waiting for result",IF($O193&gt;0,"Scored",IF($O193&lt;0,"Wrong pick","No points")))))</x:f>
      </x:c>
    </x:row>
    <x:row r="194">
      <x:c r="A194" s="60" t="n">
        <x:f>'Form Responses 1'!A194</x:f>
        <x:v>0</x:v>
      </x:c>
      <x:c r="B194" s="18" t="n">
        <x:f>'Form Responses 1'!B194</x:f>
        <x:v>0</x:v>
      </x:c>
      <x:c r="C194" s="18" t="n">
        <x:f>'Form Responses 1'!C194</x:f>
        <x:v>0</x:v>
      </x:c>
      <x:c r="D194" s="18" t="n">
        <x:f>'Form Responses 1'!D194</x:f>
        <x:v>0</x:v>
      </x:c>
      <x:c r="E194" s="18" t="n">
        <x:f>'Form Responses 1'!E194</x:f>
        <x:v>0</x:v>
      </x:c>
      <x:c r="F194" s="18" t="n">
        <x:f>'Form Responses 1'!F194</x:f>
        <x:v>0</x:v>
      </x:c>
      <x:c r="G194" s="18" t="n">
        <x:f>'Form Responses 1'!G194</x:f>
        <x:v>0</x:v>
      </x:c>
      <x:c r="H194" s="18" t="str">
        <x:f>IF($C194="","",IFERROR(VLOOKUP($C194,Matches!$A$2:$Q$200,5,FALSE),"Unknown"))</x:f>
      </x:c>
      <x:c r="I194" s="60" t="str">
        <x:f>IF($C194="","",IFERROR(VLOOKUP($C194,Matches!$A$2:$Q$200,16,FALSE),""))</x:f>
      </x:c>
      <x:c r="J194" s="18" t="str">
        <x:f>IF($C194="","",IFERROR(VLOOKUP($C194,Matches!$A$2:$Q$200,11,FALSE),""))</x:f>
      </x:c>
      <x:c r="K194" s="18" t="str">
        <x:f>IF($C194="","",IFERROR(VLOOKUP($C194,Matches!$A$2:$Q$200,12,FALSE),""))</x:f>
      </x:c>
      <x:c r="L194" s="18" t="str">
        <x:f>IF($A194="","",IF($C194=1,"Yes",IF(OR($I194="",$A194&lt;$I194),"Yes","Late")))</x:f>
      </x:c>
      <x:c r="M194" s="66" t="str">
        <x:f>IF($A194="","",IF($L194&lt;&gt;"Yes",0,IF($E194="",0,IF($J194="",0,IF($H194="Group",IF($E194=$J194,Setup!$H$2,Setup!$H$3),IF($E194=$K194,Setup!$H$2,Setup!$H$3))))))</x:f>
      </x:c>
      <x:c r="N194" s="66" t="str">
        <x:f>IF($A194="","",IF($L194&lt;&gt;"Yes",0,IF(OR($F194="",$G194=""),0,IF(AND($F194=VLOOKUP($C194,Matches!$A$2:$Q$200,9,FALSE),$G194=VLOOKUP($C194,Matches!$A$2:$Q$200,10,FALSE)),Setup!$H$5,0))))</x:f>
      </x:c>
      <x:c r="O194" s="66" t="str">
        <x:f>IF($A194="","",$M194+$N194)</x:f>
      </x:c>
      <x:c r="P194" s="18" t="str">
        <x:f>IF($A194="","",IF($L194="Late","Late - 0 points",IF($J194="","Waiting for result",IF($O194&gt;0,"Scored",IF($O194&lt;0,"Wrong pick","No points")))))</x:f>
      </x:c>
    </x:row>
    <x:row r="195">
      <x:c r="A195" s="60" t="n">
        <x:f>'Form Responses 1'!A195</x:f>
        <x:v>0</x:v>
      </x:c>
      <x:c r="B195" s="18" t="n">
        <x:f>'Form Responses 1'!B195</x:f>
        <x:v>0</x:v>
      </x:c>
      <x:c r="C195" s="18" t="n">
        <x:f>'Form Responses 1'!C195</x:f>
        <x:v>0</x:v>
      </x:c>
      <x:c r="D195" s="18" t="n">
        <x:f>'Form Responses 1'!D195</x:f>
        <x:v>0</x:v>
      </x:c>
      <x:c r="E195" s="18" t="n">
        <x:f>'Form Responses 1'!E195</x:f>
        <x:v>0</x:v>
      </x:c>
      <x:c r="F195" s="18" t="n">
        <x:f>'Form Responses 1'!F195</x:f>
        <x:v>0</x:v>
      </x:c>
      <x:c r="G195" s="18" t="n">
        <x:f>'Form Responses 1'!G195</x:f>
        <x:v>0</x:v>
      </x:c>
      <x:c r="H195" s="18" t="str">
        <x:f>IF($C195="","",IFERROR(VLOOKUP($C195,Matches!$A$2:$Q$200,5,FALSE),"Unknown"))</x:f>
      </x:c>
      <x:c r="I195" s="60" t="str">
        <x:f>IF($C195="","",IFERROR(VLOOKUP($C195,Matches!$A$2:$Q$200,16,FALSE),""))</x:f>
      </x:c>
      <x:c r="J195" s="18" t="str">
        <x:f>IF($C195="","",IFERROR(VLOOKUP($C195,Matches!$A$2:$Q$200,11,FALSE),""))</x:f>
      </x:c>
      <x:c r="K195" s="18" t="str">
        <x:f>IF($C195="","",IFERROR(VLOOKUP($C195,Matches!$A$2:$Q$200,12,FALSE),""))</x:f>
      </x:c>
      <x:c r="L195" s="18" t="str">
        <x:f>IF($A195="","",IF($C195=1,"Yes",IF(OR($I195="",$A195&lt;$I195),"Yes","Late")))</x:f>
      </x:c>
      <x:c r="M195" s="66" t="str">
        <x:f>IF($A195="","",IF($L195&lt;&gt;"Yes",0,IF($E195="",0,IF($J195="",0,IF($H195="Group",IF($E195=$J195,Setup!$H$2,Setup!$H$3),IF($E195=$K195,Setup!$H$2,Setup!$H$3))))))</x:f>
      </x:c>
      <x:c r="N195" s="66" t="str">
        <x:f>IF($A195="","",IF($L195&lt;&gt;"Yes",0,IF(OR($F195="",$G195=""),0,IF(AND($F195=VLOOKUP($C195,Matches!$A$2:$Q$200,9,FALSE),$G195=VLOOKUP($C195,Matches!$A$2:$Q$200,10,FALSE)),Setup!$H$5,0))))</x:f>
      </x:c>
      <x:c r="O195" s="66" t="str">
        <x:f>IF($A195="","",$M195+$N195)</x:f>
      </x:c>
      <x:c r="P195" s="18" t="str">
        <x:f>IF($A195="","",IF($L195="Late","Late - 0 points",IF($J195="","Waiting for result",IF($O195&gt;0,"Scored",IF($O195&lt;0,"Wrong pick","No points")))))</x:f>
      </x:c>
    </x:row>
    <x:row r="196">
      <x:c r="A196" s="60" t="n">
        <x:f>'Form Responses 1'!A196</x:f>
        <x:v>0</x:v>
      </x:c>
      <x:c r="B196" s="18" t="n">
        <x:f>'Form Responses 1'!B196</x:f>
        <x:v>0</x:v>
      </x:c>
      <x:c r="C196" s="18" t="n">
        <x:f>'Form Responses 1'!C196</x:f>
        <x:v>0</x:v>
      </x:c>
      <x:c r="D196" s="18" t="n">
        <x:f>'Form Responses 1'!D196</x:f>
        <x:v>0</x:v>
      </x:c>
      <x:c r="E196" s="18" t="n">
        <x:f>'Form Responses 1'!E196</x:f>
        <x:v>0</x:v>
      </x:c>
      <x:c r="F196" s="18" t="n">
        <x:f>'Form Responses 1'!F196</x:f>
        <x:v>0</x:v>
      </x:c>
      <x:c r="G196" s="18" t="n">
        <x:f>'Form Responses 1'!G196</x:f>
        <x:v>0</x:v>
      </x:c>
      <x:c r="H196" s="18" t="str">
        <x:f>IF($C196="","",IFERROR(VLOOKUP($C196,Matches!$A$2:$Q$200,5,FALSE),"Unknown"))</x:f>
      </x:c>
      <x:c r="I196" s="60" t="str">
        <x:f>IF($C196="","",IFERROR(VLOOKUP($C196,Matches!$A$2:$Q$200,16,FALSE),""))</x:f>
      </x:c>
      <x:c r="J196" s="18" t="str">
        <x:f>IF($C196="","",IFERROR(VLOOKUP($C196,Matches!$A$2:$Q$200,11,FALSE),""))</x:f>
      </x:c>
      <x:c r="K196" s="18" t="str">
        <x:f>IF($C196="","",IFERROR(VLOOKUP($C196,Matches!$A$2:$Q$200,12,FALSE),""))</x:f>
      </x:c>
      <x:c r="L196" s="18" t="str">
        <x:f>IF($A196="","",IF($C196=1,"Yes",IF(OR($I196="",$A196&lt;$I196),"Yes","Late")))</x:f>
      </x:c>
      <x:c r="M196" s="66" t="str">
        <x:f>IF($A196="","",IF($L196&lt;&gt;"Yes",0,IF($E196="",0,IF($J196="",0,IF($H196="Group",IF($E196=$J196,Setup!$H$2,Setup!$H$3),IF($E196=$K196,Setup!$H$2,Setup!$H$3))))))</x:f>
      </x:c>
      <x:c r="N196" s="66" t="str">
        <x:f>IF($A196="","",IF($L196&lt;&gt;"Yes",0,IF(OR($F196="",$G196=""),0,IF(AND($F196=VLOOKUP($C196,Matches!$A$2:$Q$200,9,FALSE),$G196=VLOOKUP($C196,Matches!$A$2:$Q$200,10,FALSE)),Setup!$H$5,0))))</x:f>
      </x:c>
      <x:c r="O196" s="66" t="str">
        <x:f>IF($A196="","",$M196+$N196)</x:f>
      </x:c>
      <x:c r="P196" s="18" t="str">
        <x:f>IF($A196="","",IF($L196="Late","Late - 0 points",IF($J196="","Waiting for result",IF($O196&gt;0,"Scored",IF($O196&lt;0,"Wrong pick","No points")))))</x:f>
      </x:c>
    </x:row>
    <x:row r="197">
      <x:c r="A197" s="60" t="n">
        <x:f>'Form Responses 1'!A197</x:f>
        <x:v>0</x:v>
      </x:c>
      <x:c r="B197" s="18" t="n">
        <x:f>'Form Responses 1'!B197</x:f>
        <x:v>0</x:v>
      </x:c>
      <x:c r="C197" s="18" t="n">
        <x:f>'Form Responses 1'!C197</x:f>
        <x:v>0</x:v>
      </x:c>
      <x:c r="D197" s="18" t="n">
        <x:f>'Form Responses 1'!D197</x:f>
        <x:v>0</x:v>
      </x:c>
      <x:c r="E197" s="18" t="n">
        <x:f>'Form Responses 1'!E197</x:f>
        <x:v>0</x:v>
      </x:c>
      <x:c r="F197" s="18" t="n">
        <x:f>'Form Responses 1'!F197</x:f>
        <x:v>0</x:v>
      </x:c>
      <x:c r="G197" s="18" t="n">
        <x:f>'Form Responses 1'!G197</x:f>
        <x:v>0</x:v>
      </x:c>
      <x:c r="H197" s="18" t="str">
        <x:f>IF($C197="","",IFERROR(VLOOKUP($C197,Matches!$A$2:$Q$200,5,FALSE),"Unknown"))</x:f>
      </x:c>
      <x:c r="I197" s="60" t="str">
        <x:f>IF($C197="","",IFERROR(VLOOKUP($C197,Matches!$A$2:$Q$200,16,FALSE),""))</x:f>
      </x:c>
      <x:c r="J197" s="18" t="str">
        <x:f>IF($C197="","",IFERROR(VLOOKUP($C197,Matches!$A$2:$Q$200,11,FALSE),""))</x:f>
      </x:c>
      <x:c r="K197" s="18" t="str">
        <x:f>IF($C197="","",IFERROR(VLOOKUP($C197,Matches!$A$2:$Q$200,12,FALSE),""))</x:f>
      </x:c>
      <x:c r="L197" s="18" t="str">
        <x:f>IF($A197="","",IF($C197=1,"Yes",IF(OR($I197="",$A197&lt;$I197),"Yes","Late")))</x:f>
      </x:c>
      <x:c r="M197" s="66" t="str">
        <x:f>IF($A197="","",IF($L197&lt;&gt;"Yes",0,IF($E197="",0,IF($J197="",0,IF($H197="Group",IF($E197=$J197,Setup!$H$2,Setup!$H$3),IF($E197=$K197,Setup!$H$2,Setup!$H$3))))))</x:f>
      </x:c>
      <x:c r="N197" s="66" t="str">
        <x:f>IF($A197="","",IF($L197&lt;&gt;"Yes",0,IF(OR($F197="",$G197=""),0,IF(AND($F197=VLOOKUP($C197,Matches!$A$2:$Q$200,9,FALSE),$G197=VLOOKUP($C197,Matches!$A$2:$Q$200,10,FALSE)),Setup!$H$5,0))))</x:f>
      </x:c>
      <x:c r="O197" s="66" t="str">
        <x:f>IF($A197="","",$M197+$N197)</x:f>
      </x:c>
      <x:c r="P197" s="18" t="str">
        <x:f>IF($A197="","",IF($L197="Late","Late - 0 points",IF($J197="","Waiting for result",IF($O197&gt;0,"Scored",IF($O197&lt;0,"Wrong pick","No points")))))</x:f>
      </x:c>
    </x:row>
    <x:row r="198">
      <x:c r="A198" s="60" t="n">
        <x:f>'Form Responses 1'!A198</x:f>
        <x:v>0</x:v>
      </x:c>
      <x:c r="B198" s="18" t="n">
        <x:f>'Form Responses 1'!B198</x:f>
        <x:v>0</x:v>
      </x:c>
      <x:c r="C198" s="18" t="n">
        <x:f>'Form Responses 1'!C198</x:f>
        <x:v>0</x:v>
      </x:c>
      <x:c r="D198" s="18" t="n">
        <x:f>'Form Responses 1'!D198</x:f>
        <x:v>0</x:v>
      </x:c>
      <x:c r="E198" s="18" t="n">
        <x:f>'Form Responses 1'!E198</x:f>
        <x:v>0</x:v>
      </x:c>
      <x:c r="F198" s="18" t="n">
        <x:f>'Form Responses 1'!F198</x:f>
        <x:v>0</x:v>
      </x:c>
      <x:c r="G198" s="18" t="n">
        <x:f>'Form Responses 1'!G198</x:f>
        <x:v>0</x:v>
      </x:c>
      <x:c r="H198" s="18" t="str">
        <x:f>IF($C198="","",IFERROR(VLOOKUP($C198,Matches!$A$2:$Q$200,5,FALSE),"Unknown"))</x:f>
      </x:c>
      <x:c r="I198" s="60" t="str">
        <x:f>IF($C198="","",IFERROR(VLOOKUP($C198,Matches!$A$2:$Q$200,16,FALSE),""))</x:f>
      </x:c>
      <x:c r="J198" s="18" t="str">
        <x:f>IF($C198="","",IFERROR(VLOOKUP($C198,Matches!$A$2:$Q$200,11,FALSE),""))</x:f>
      </x:c>
      <x:c r="K198" s="18" t="str">
        <x:f>IF($C198="","",IFERROR(VLOOKUP($C198,Matches!$A$2:$Q$200,12,FALSE),""))</x:f>
      </x:c>
      <x:c r="L198" s="18" t="str">
        <x:f>IF($A198="","",IF($C198=1,"Yes",IF(OR($I198="",$A198&lt;$I198),"Yes","Late")))</x:f>
      </x:c>
      <x:c r="M198" s="66" t="str">
        <x:f>IF($A198="","",IF($L198&lt;&gt;"Yes",0,IF($E198="",0,IF($J198="",0,IF($H198="Group",IF($E198=$J198,Setup!$H$2,Setup!$H$3),IF($E198=$K198,Setup!$H$2,Setup!$H$3))))))</x:f>
      </x:c>
      <x:c r="N198" s="66" t="str">
        <x:f>IF($A198="","",IF($L198&lt;&gt;"Yes",0,IF(OR($F198="",$G198=""),0,IF(AND($F198=VLOOKUP($C198,Matches!$A$2:$Q$200,9,FALSE),$G198=VLOOKUP($C198,Matches!$A$2:$Q$200,10,FALSE)),Setup!$H$5,0))))</x:f>
      </x:c>
      <x:c r="O198" s="66" t="str">
        <x:f>IF($A198="","",$M198+$N198)</x:f>
      </x:c>
      <x:c r="P198" s="18" t="str">
        <x:f>IF($A198="","",IF($L198="Late","Late - 0 points",IF($J198="","Waiting for result",IF($O198&gt;0,"Scored",IF($O198&lt;0,"Wrong pick","No points")))))</x:f>
      </x:c>
    </x:row>
    <x:row r="199">
      <x:c r="A199" s="60" t="n">
        <x:f>'Form Responses 1'!A199</x:f>
        <x:v>0</x:v>
      </x:c>
      <x:c r="B199" s="18" t="n">
        <x:f>'Form Responses 1'!B199</x:f>
        <x:v>0</x:v>
      </x:c>
      <x:c r="C199" s="18" t="n">
        <x:f>'Form Responses 1'!C199</x:f>
        <x:v>0</x:v>
      </x:c>
      <x:c r="D199" s="18" t="n">
        <x:f>'Form Responses 1'!D199</x:f>
        <x:v>0</x:v>
      </x:c>
      <x:c r="E199" s="18" t="n">
        <x:f>'Form Responses 1'!E199</x:f>
        <x:v>0</x:v>
      </x:c>
      <x:c r="F199" s="18" t="n">
        <x:f>'Form Responses 1'!F199</x:f>
        <x:v>0</x:v>
      </x:c>
      <x:c r="G199" s="18" t="n">
        <x:f>'Form Responses 1'!G199</x:f>
        <x:v>0</x:v>
      </x:c>
      <x:c r="H199" s="18" t="str">
        <x:f>IF($C199="","",IFERROR(VLOOKUP($C199,Matches!$A$2:$Q$200,5,FALSE),"Unknown"))</x:f>
      </x:c>
      <x:c r="I199" s="60" t="str">
        <x:f>IF($C199="","",IFERROR(VLOOKUP($C199,Matches!$A$2:$Q$200,16,FALSE),""))</x:f>
      </x:c>
      <x:c r="J199" s="18" t="str">
        <x:f>IF($C199="","",IFERROR(VLOOKUP($C199,Matches!$A$2:$Q$200,11,FALSE),""))</x:f>
      </x:c>
      <x:c r="K199" s="18" t="str">
        <x:f>IF($C199="","",IFERROR(VLOOKUP($C199,Matches!$A$2:$Q$200,12,FALSE),""))</x:f>
      </x:c>
      <x:c r="L199" s="18" t="str">
        <x:f>IF($A199="","",IF($C199=1,"Yes",IF(OR($I199="",$A199&lt;$I199),"Yes","Late")))</x:f>
      </x:c>
      <x:c r="M199" s="66" t="str">
        <x:f>IF($A199="","",IF($L199&lt;&gt;"Yes",0,IF($E199="",0,IF($J199="",0,IF($H199="Group",IF($E199=$J199,Setup!$H$2,Setup!$H$3),IF($E199=$K199,Setup!$H$2,Setup!$H$3))))))</x:f>
      </x:c>
      <x:c r="N199" s="66" t="str">
        <x:f>IF($A199="","",IF($L199&lt;&gt;"Yes",0,IF(OR($F199="",$G199=""),0,IF(AND($F199=VLOOKUP($C199,Matches!$A$2:$Q$200,9,FALSE),$G199=VLOOKUP($C199,Matches!$A$2:$Q$200,10,FALSE)),Setup!$H$5,0))))</x:f>
      </x:c>
      <x:c r="O199" s="66" t="str">
        <x:f>IF($A199="","",$M199+$N199)</x:f>
      </x:c>
      <x:c r="P199" s="18" t="str">
        <x:f>IF($A199="","",IF($L199="Late","Late - 0 points",IF($J199="","Waiting for result",IF($O199&gt;0,"Scored",IF($O199&lt;0,"Wrong pick","No points")))))</x:f>
      </x:c>
    </x:row>
    <x:row r="200">
      <x:c r="A200" s="60" t="n">
        <x:f>'Form Responses 1'!A200</x:f>
        <x:v>0</x:v>
      </x:c>
      <x:c r="B200" s="18" t="n">
        <x:f>'Form Responses 1'!B200</x:f>
        <x:v>0</x:v>
      </x:c>
      <x:c r="C200" s="18" t="n">
        <x:f>'Form Responses 1'!C200</x:f>
        <x:v>0</x:v>
      </x:c>
      <x:c r="D200" s="18" t="n">
        <x:f>'Form Responses 1'!D200</x:f>
        <x:v>0</x:v>
      </x:c>
      <x:c r="E200" s="18" t="n">
        <x:f>'Form Responses 1'!E200</x:f>
        <x:v>0</x:v>
      </x:c>
      <x:c r="F200" s="18" t="n">
        <x:f>'Form Responses 1'!F200</x:f>
        <x:v>0</x:v>
      </x:c>
      <x:c r="G200" s="18" t="n">
        <x:f>'Form Responses 1'!G200</x:f>
        <x:v>0</x:v>
      </x:c>
      <x:c r="H200" s="18" t="str">
        <x:f>IF($C200="","",IFERROR(VLOOKUP($C200,Matches!$A$2:$Q$200,5,FALSE),"Unknown"))</x:f>
      </x:c>
      <x:c r="I200" s="60" t="str">
        <x:f>IF($C200="","",IFERROR(VLOOKUP($C200,Matches!$A$2:$Q$200,16,FALSE),""))</x:f>
      </x:c>
      <x:c r="J200" s="18" t="str">
        <x:f>IF($C200="","",IFERROR(VLOOKUP($C200,Matches!$A$2:$Q$200,11,FALSE),""))</x:f>
      </x:c>
      <x:c r="K200" s="18" t="str">
        <x:f>IF($C200="","",IFERROR(VLOOKUP($C200,Matches!$A$2:$Q$200,12,FALSE),""))</x:f>
      </x:c>
      <x:c r="L200" s="18" t="str">
        <x:f>IF($A200="","",IF($C200=1,"Yes",IF(OR($I200="",$A200&lt;$I200),"Yes","Late")))</x:f>
      </x:c>
      <x:c r="M200" s="66" t="str">
        <x:f>IF($A200="","",IF($L200&lt;&gt;"Yes",0,IF($E200="",0,IF($J200="",0,IF($H200="Group",IF($E200=$J200,Setup!$H$2,Setup!$H$3),IF($E200=$K200,Setup!$H$2,Setup!$H$3))))))</x:f>
      </x:c>
      <x:c r="N200" s="66" t="str">
        <x:f>IF($A200="","",IF($L200&lt;&gt;"Yes",0,IF(OR($F200="",$G200=""),0,IF(AND($F200=VLOOKUP($C200,Matches!$A$2:$Q$200,9,FALSE),$G200=VLOOKUP($C200,Matches!$A$2:$Q$200,10,FALSE)),Setup!$H$5,0))))</x:f>
      </x:c>
      <x:c r="O200" s="66" t="str">
        <x:f>IF($A200="","",$M200+$N200)</x:f>
      </x:c>
      <x:c r="P200" s="18" t="str">
        <x:f>IF($A200="","",IF($L200="Late","Late - 0 points",IF($J200="","Waiting for result",IF($O200&gt;0,"Scored",IF($O200&lt;0,"Wrong pick","No points")))))</x:f>
      </x:c>
    </x:row>
    <x:row r="201">
      <x:c r="A201" s="60" t="n">
        <x:f>'Form Responses 1'!A201</x:f>
        <x:v>0</x:v>
      </x:c>
      <x:c r="B201" s="18" t="n">
        <x:f>'Form Responses 1'!B201</x:f>
        <x:v>0</x:v>
      </x:c>
      <x:c r="C201" s="18" t="n">
        <x:f>'Form Responses 1'!C201</x:f>
        <x:v>0</x:v>
      </x:c>
      <x:c r="D201" s="18" t="n">
        <x:f>'Form Responses 1'!D201</x:f>
        <x:v>0</x:v>
      </x:c>
      <x:c r="E201" s="18" t="n">
        <x:f>'Form Responses 1'!E201</x:f>
        <x:v>0</x:v>
      </x:c>
      <x:c r="F201" s="18" t="n">
        <x:f>'Form Responses 1'!F201</x:f>
        <x:v>0</x:v>
      </x:c>
      <x:c r="G201" s="18" t="n">
        <x:f>'Form Responses 1'!G201</x:f>
        <x:v>0</x:v>
      </x:c>
      <x:c r="H201" s="18" t="str">
        <x:f>IF($C201="","",IFERROR(VLOOKUP($C201,Matches!$A$2:$Q$200,5,FALSE),"Unknown"))</x:f>
      </x:c>
      <x:c r="I201" s="60" t="str">
        <x:f>IF($C201="","",IFERROR(VLOOKUP($C201,Matches!$A$2:$Q$200,16,FALSE),""))</x:f>
      </x:c>
      <x:c r="J201" s="18" t="str">
        <x:f>IF($C201="","",IFERROR(VLOOKUP($C201,Matches!$A$2:$Q$200,11,FALSE),""))</x:f>
      </x:c>
      <x:c r="K201" s="18" t="str">
        <x:f>IF($C201="","",IFERROR(VLOOKUP($C201,Matches!$A$2:$Q$200,12,FALSE),""))</x:f>
      </x:c>
      <x:c r="L201" s="18" t="str">
        <x:f>IF($A201="","",IF($C201=1,"Yes",IF(OR($I201="",$A201&lt;$I201),"Yes","Late")))</x:f>
      </x:c>
      <x:c r="M201" s="66" t="str">
        <x:f>IF($A201="","",IF($L201&lt;&gt;"Yes",0,IF($E201="",0,IF($J201="",0,IF($H201="Group",IF($E201=$J201,Setup!$H$2,Setup!$H$3),IF($E201=$K201,Setup!$H$2,Setup!$H$3))))))</x:f>
      </x:c>
      <x:c r="N201" s="66" t="str">
        <x:f>IF($A201="","",IF($L201&lt;&gt;"Yes",0,IF(OR($F201="",$G201=""),0,IF(AND($F201=VLOOKUP($C201,Matches!$A$2:$Q$200,9,FALSE),$G201=VLOOKUP($C201,Matches!$A$2:$Q$200,10,FALSE)),Setup!$H$5,0))))</x:f>
      </x:c>
      <x:c r="O201" s="66" t="str">
        <x:f>IF($A201="","",$M201+$N201)</x:f>
      </x:c>
      <x:c r="P201" s="18" t="str">
        <x:f>IF($A201="","",IF($L201="Late","Late - 0 points",IF($J201="","Waiting for result",IF($O201&gt;0,"Scored",IF($O201&lt;0,"Wrong pick","No points")))))</x:f>
      </x:c>
    </x:row>
    <x:row r="202">
      <x:c r="A202" s="60" t="n">
        <x:f>'Form Responses 1'!A202</x:f>
        <x:v>0</x:v>
      </x:c>
      <x:c r="B202" s="18" t="n">
        <x:f>'Form Responses 1'!B202</x:f>
        <x:v>0</x:v>
      </x:c>
      <x:c r="C202" s="18" t="n">
        <x:f>'Form Responses 1'!C202</x:f>
        <x:v>0</x:v>
      </x:c>
      <x:c r="D202" s="18" t="n">
        <x:f>'Form Responses 1'!D202</x:f>
        <x:v>0</x:v>
      </x:c>
      <x:c r="E202" s="18" t="n">
        <x:f>'Form Responses 1'!E202</x:f>
        <x:v>0</x:v>
      </x:c>
      <x:c r="F202" s="18" t="n">
        <x:f>'Form Responses 1'!F202</x:f>
        <x:v>0</x:v>
      </x:c>
      <x:c r="G202" s="18" t="n">
        <x:f>'Form Responses 1'!G202</x:f>
        <x:v>0</x:v>
      </x:c>
      <x:c r="H202" s="18" t="str">
        <x:f>IF($C202="","",IFERROR(VLOOKUP($C202,Matches!$A$2:$Q$200,5,FALSE),"Unknown"))</x:f>
      </x:c>
      <x:c r="I202" s="60" t="str">
        <x:f>IF($C202="","",IFERROR(VLOOKUP($C202,Matches!$A$2:$Q$200,16,FALSE),""))</x:f>
      </x:c>
      <x:c r="J202" s="18" t="str">
        <x:f>IF($C202="","",IFERROR(VLOOKUP($C202,Matches!$A$2:$Q$200,11,FALSE),""))</x:f>
      </x:c>
      <x:c r="K202" s="18" t="str">
        <x:f>IF($C202="","",IFERROR(VLOOKUP($C202,Matches!$A$2:$Q$200,12,FALSE),""))</x:f>
      </x:c>
      <x:c r="L202" s="18" t="str">
        <x:f>IF($A202="","",IF($C202=1,"Yes",IF(OR($I202="",$A202&lt;$I202),"Yes","Late")))</x:f>
      </x:c>
      <x:c r="M202" s="66" t="str">
        <x:f>IF($A202="","",IF($L202&lt;&gt;"Yes",0,IF($E202="",0,IF($J202="",0,IF($H202="Group",IF($E202=$J202,Setup!$H$2,Setup!$H$3),IF($E202=$K202,Setup!$H$2,Setup!$H$3))))))</x:f>
      </x:c>
      <x:c r="N202" s="66" t="str">
        <x:f>IF($A202="","",IF($L202&lt;&gt;"Yes",0,IF(OR($F202="",$G202=""),0,IF(AND($F202=VLOOKUP($C202,Matches!$A$2:$Q$200,9,FALSE),$G202=VLOOKUP($C202,Matches!$A$2:$Q$200,10,FALSE)),Setup!$H$5,0))))</x:f>
      </x:c>
      <x:c r="O202" s="66" t="str">
        <x:f>IF($A202="","",$M202+$N202)</x:f>
      </x:c>
      <x:c r="P202" s="18" t="str">
        <x:f>IF($A202="","",IF($L202="Late","Late - 0 points",IF($J202="","Waiting for result",IF($O202&gt;0,"Scored",IF($O202&lt;0,"Wrong pick","No points")))))</x:f>
      </x:c>
    </x:row>
    <x:row r="203">
      <x:c r="A203" s="60" t="n">
        <x:f>'Form Responses 1'!A203</x:f>
        <x:v>0</x:v>
      </x:c>
      <x:c r="B203" s="18" t="n">
        <x:f>'Form Responses 1'!B203</x:f>
        <x:v>0</x:v>
      </x:c>
      <x:c r="C203" s="18" t="n">
        <x:f>'Form Responses 1'!C203</x:f>
        <x:v>0</x:v>
      </x:c>
      <x:c r="D203" s="18" t="n">
        <x:f>'Form Responses 1'!D203</x:f>
        <x:v>0</x:v>
      </x:c>
      <x:c r="E203" s="18" t="n">
        <x:f>'Form Responses 1'!E203</x:f>
        <x:v>0</x:v>
      </x:c>
      <x:c r="F203" s="18" t="n">
        <x:f>'Form Responses 1'!F203</x:f>
        <x:v>0</x:v>
      </x:c>
      <x:c r="G203" s="18" t="n">
        <x:f>'Form Responses 1'!G203</x:f>
        <x:v>0</x:v>
      </x:c>
      <x:c r="H203" s="18" t="str">
        <x:f>IF($C203="","",IFERROR(VLOOKUP($C203,Matches!$A$2:$Q$200,5,FALSE),"Unknown"))</x:f>
      </x:c>
      <x:c r="I203" s="60" t="str">
        <x:f>IF($C203="","",IFERROR(VLOOKUP($C203,Matches!$A$2:$Q$200,16,FALSE),""))</x:f>
      </x:c>
      <x:c r="J203" s="18" t="str">
        <x:f>IF($C203="","",IFERROR(VLOOKUP($C203,Matches!$A$2:$Q$200,11,FALSE),""))</x:f>
      </x:c>
      <x:c r="K203" s="18" t="str">
        <x:f>IF($C203="","",IFERROR(VLOOKUP($C203,Matches!$A$2:$Q$200,12,FALSE),""))</x:f>
      </x:c>
      <x:c r="L203" s="18" t="str">
        <x:f>IF($A203="","",IF($C203=1,"Yes",IF(OR($I203="",$A203&lt;$I203),"Yes","Late")))</x:f>
      </x:c>
      <x:c r="M203" s="66" t="str">
        <x:f>IF($A203="","",IF($L203&lt;&gt;"Yes",0,IF($E203="",0,IF($J203="",0,IF($H203="Group",IF($E203=$J203,Setup!$H$2,Setup!$H$3),IF($E203=$K203,Setup!$H$2,Setup!$H$3))))))</x:f>
      </x:c>
      <x:c r="N203" s="66" t="str">
        <x:f>IF($A203="","",IF($L203&lt;&gt;"Yes",0,IF(OR($F203="",$G203=""),0,IF(AND($F203=VLOOKUP($C203,Matches!$A$2:$Q$200,9,FALSE),$G203=VLOOKUP($C203,Matches!$A$2:$Q$200,10,FALSE)),Setup!$H$5,0))))</x:f>
      </x:c>
      <x:c r="O203" s="66" t="str">
        <x:f>IF($A203="","",$M203+$N203)</x:f>
      </x:c>
      <x:c r="P203" s="18" t="str">
        <x:f>IF($A203="","",IF($L203="Late","Late - 0 points",IF($J203="","Waiting for result",IF($O203&gt;0,"Scored",IF($O203&lt;0,"Wrong pick","No points")))))</x:f>
      </x:c>
    </x:row>
    <x:row r="204">
      <x:c r="A204" s="60" t="n">
        <x:f>'Form Responses 1'!A204</x:f>
        <x:v>0</x:v>
      </x:c>
      <x:c r="B204" s="18" t="n">
        <x:f>'Form Responses 1'!B204</x:f>
        <x:v>0</x:v>
      </x:c>
      <x:c r="C204" s="18" t="n">
        <x:f>'Form Responses 1'!C204</x:f>
        <x:v>0</x:v>
      </x:c>
      <x:c r="D204" s="18" t="n">
        <x:f>'Form Responses 1'!D204</x:f>
        <x:v>0</x:v>
      </x:c>
      <x:c r="E204" s="18" t="n">
        <x:f>'Form Responses 1'!E204</x:f>
        <x:v>0</x:v>
      </x:c>
      <x:c r="F204" s="18" t="n">
        <x:f>'Form Responses 1'!F204</x:f>
        <x:v>0</x:v>
      </x:c>
      <x:c r="G204" s="18" t="n">
        <x:f>'Form Responses 1'!G204</x:f>
        <x:v>0</x:v>
      </x:c>
      <x:c r="H204" s="18" t="str">
        <x:f>IF($C204="","",IFERROR(VLOOKUP($C204,Matches!$A$2:$Q$200,5,FALSE),"Unknown"))</x:f>
      </x:c>
      <x:c r="I204" s="60" t="str">
        <x:f>IF($C204="","",IFERROR(VLOOKUP($C204,Matches!$A$2:$Q$200,16,FALSE),""))</x:f>
      </x:c>
      <x:c r="J204" s="18" t="str">
        <x:f>IF($C204="","",IFERROR(VLOOKUP($C204,Matches!$A$2:$Q$200,11,FALSE),""))</x:f>
      </x:c>
      <x:c r="K204" s="18" t="str">
        <x:f>IF($C204="","",IFERROR(VLOOKUP($C204,Matches!$A$2:$Q$200,12,FALSE),""))</x:f>
      </x:c>
      <x:c r="L204" s="18" t="str">
        <x:f>IF($A204="","",IF($C204=1,"Yes",IF(OR($I204="",$A204&lt;$I204),"Yes","Late")))</x:f>
      </x:c>
      <x:c r="M204" s="66" t="str">
        <x:f>IF($A204="","",IF($L204&lt;&gt;"Yes",0,IF($E204="",0,IF($J204="",0,IF($H204="Group",IF($E204=$J204,Setup!$H$2,Setup!$H$3),IF($E204=$K204,Setup!$H$2,Setup!$H$3))))))</x:f>
      </x:c>
      <x:c r="N204" s="66" t="str">
        <x:f>IF($A204="","",IF($L204&lt;&gt;"Yes",0,IF(OR($F204="",$G204=""),0,IF(AND($F204=VLOOKUP($C204,Matches!$A$2:$Q$200,9,FALSE),$G204=VLOOKUP($C204,Matches!$A$2:$Q$200,10,FALSE)),Setup!$H$5,0))))</x:f>
      </x:c>
      <x:c r="O204" s="66" t="str">
        <x:f>IF($A204="","",$M204+$N204)</x:f>
      </x:c>
      <x:c r="P204" s="18" t="str">
        <x:f>IF($A204="","",IF($L204="Late","Late - 0 points",IF($J204="","Waiting for result",IF($O204&gt;0,"Scored",IF($O204&lt;0,"Wrong pick","No points")))))</x:f>
      </x:c>
    </x:row>
    <x:row r="205">
      <x:c r="A205" s="60" t="n">
        <x:f>'Form Responses 1'!A205</x:f>
        <x:v>0</x:v>
      </x:c>
      <x:c r="B205" s="18" t="n">
        <x:f>'Form Responses 1'!B205</x:f>
        <x:v>0</x:v>
      </x:c>
      <x:c r="C205" s="18" t="n">
        <x:f>'Form Responses 1'!C205</x:f>
        <x:v>0</x:v>
      </x:c>
      <x:c r="D205" s="18" t="n">
        <x:f>'Form Responses 1'!D205</x:f>
        <x:v>0</x:v>
      </x:c>
      <x:c r="E205" s="18" t="n">
        <x:f>'Form Responses 1'!E205</x:f>
        <x:v>0</x:v>
      </x:c>
      <x:c r="F205" s="18" t="n">
        <x:f>'Form Responses 1'!F205</x:f>
        <x:v>0</x:v>
      </x:c>
      <x:c r="G205" s="18" t="n">
        <x:f>'Form Responses 1'!G205</x:f>
        <x:v>0</x:v>
      </x:c>
      <x:c r="H205" s="18" t="str">
        <x:f>IF($C205="","",IFERROR(VLOOKUP($C205,Matches!$A$2:$Q$200,5,FALSE),"Unknown"))</x:f>
      </x:c>
      <x:c r="I205" s="60" t="str">
        <x:f>IF($C205="","",IFERROR(VLOOKUP($C205,Matches!$A$2:$Q$200,16,FALSE),""))</x:f>
      </x:c>
      <x:c r="J205" s="18" t="str">
        <x:f>IF($C205="","",IFERROR(VLOOKUP($C205,Matches!$A$2:$Q$200,11,FALSE),""))</x:f>
      </x:c>
      <x:c r="K205" s="18" t="str">
        <x:f>IF($C205="","",IFERROR(VLOOKUP($C205,Matches!$A$2:$Q$200,12,FALSE),""))</x:f>
      </x:c>
      <x:c r="L205" s="18" t="str">
        <x:f>IF($A205="","",IF($C205=1,"Yes",IF(OR($I205="",$A205&lt;$I205),"Yes","Late")))</x:f>
      </x:c>
      <x:c r="M205" s="66" t="str">
        <x:f>IF($A205="","",IF($L205&lt;&gt;"Yes",0,IF($E205="",0,IF($J205="",0,IF($H205="Group",IF($E205=$J205,Setup!$H$2,Setup!$H$3),IF($E205=$K205,Setup!$H$2,Setup!$H$3))))))</x:f>
      </x:c>
      <x:c r="N205" s="66" t="str">
        <x:f>IF($A205="","",IF($L205&lt;&gt;"Yes",0,IF(OR($F205="",$G205=""),0,IF(AND($F205=VLOOKUP($C205,Matches!$A$2:$Q$200,9,FALSE),$G205=VLOOKUP($C205,Matches!$A$2:$Q$200,10,FALSE)),Setup!$H$5,0))))</x:f>
      </x:c>
      <x:c r="O205" s="66" t="str">
        <x:f>IF($A205="","",$M205+$N205)</x:f>
      </x:c>
      <x:c r="P205" s="18" t="str">
        <x:f>IF($A205="","",IF($L205="Late","Late - 0 points",IF($J205="","Waiting for result",IF($O205&gt;0,"Scored",IF($O205&lt;0,"Wrong pick","No points")))))</x:f>
      </x:c>
    </x:row>
    <x:row r="206">
      <x:c r="A206" s="60" t="n">
        <x:f>'Form Responses 1'!A206</x:f>
        <x:v>0</x:v>
      </x:c>
      <x:c r="B206" s="18" t="n">
        <x:f>'Form Responses 1'!B206</x:f>
        <x:v>0</x:v>
      </x:c>
      <x:c r="C206" s="18" t="n">
        <x:f>'Form Responses 1'!C206</x:f>
        <x:v>0</x:v>
      </x:c>
      <x:c r="D206" s="18" t="n">
        <x:f>'Form Responses 1'!D206</x:f>
        <x:v>0</x:v>
      </x:c>
      <x:c r="E206" s="18" t="n">
        <x:f>'Form Responses 1'!E206</x:f>
        <x:v>0</x:v>
      </x:c>
      <x:c r="F206" s="18" t="n">
        <x:f>'Form Responses 1'!F206</x:f>
        <x:v>0</x:v>
      </x:c>
      <x:c r="G206" s="18" t="n">
        <x:f>'Form Responses 1'!G206</x:f>
        <x:v>0</x:v>
      </x:c>
      <x:c r="H206" s="18" t="str">
        <x:f>IF($C206="","",IFERROR(VLOOKUP($C206,Matches!$A$2:$Q$200,5,FALSE),"Unknown"))</x:f>
      </x:c>
      <x:c r="I206" s="60" t="str">
        <x:f>IF($C206="","",IFERROR(VLOOKUP($C206,Matches!$A$2:$Q$200,16,FALSE),""))</x:f>
      </x:c>
      <x:c r="J206" s="18" t="str">
        <x:f>IF($C206="","",IFERROR(VLOOKUP($C206,Matches!$A$2:$Q$200,11,FALSE),""))</x:f>
      </x:c>
      <x:c r="K206" s="18" t="str">
        <x:f>IF($C206="","",IFERROR(VLOOKUP($C206,Matches!$A$2:$Q$200,12,FALSE),""))</x:f>
      </x:c>
      <x:c r="L206" s="18" t="str">
        <x:f>IF($A206="","",IF($C206=1,"Yes",IF(OR($I206="",$A206&lt;$I206),"Yes","Late")))</x:f>
      </x:c>
      <x:c r="M206" s="66" t="str">
        <x:f>IF($A206="","",IF($L206&lt;&gt;"Yes",0,IF($E206="",0,IF($J206="",0,IF($H206="Group",IF($E206=$J206,Setup!$H$2,Setup!$H$3),IF($E206=$K206,Setup!$H$2,Setup!$H$3))))))</x:f>
      </x:c>
      <x:c r="N206" s="66" t="str">
        <x:f>IF($A206="","",IF($L206&lt;&gt;"Yes",0,IF(OR($F206="",$G206=""),0,IF(AND($F206=VLOOKUP($C206,Matches!$A$2:$Q$200,9,FALSE),$G206=VLOOKUP($C206,Matches!$A$2:$Q$200,10,FALSE)),Setup!$H$5,0))))</x:f>
      </x:c>
      <x:c r="O206" s="66" t="str">
        <x:f>IF($A206="","",$M206+$N206)</x:f>
      </x:c>
      <x:c r="P206" s="18" t="str">
        <x:f>IF($A206="","",IF($L206="Late","Late - 0 points",IF($J206="","Waiting for result",IF($O206&gt;0,"Scored",IF($O206&lt;0,"Wrong pick","No points")))))</x:f>
      </x:c>
    </x:row>
    <x:row r="207">
      <x:c r="A207" s="60" t="n">
        <x:f>'Form Responses 1'!A207</x:f>
        <x:v>0</x:v>
      </x:c>
      <x:c r="B207" s="18" t="n">
        <x:f>'Form Responses 1'!B207</x:f>
        <x:v>0</x:v>
      </x:c>
      <x:c r="C207" s="18" t="n">
        <x:f>'Form Responses 1'!C207</x:f>
        <x:v>0</x:v>
      </x:c>
      <x:c r="D207" s="18" t="n">
        <x:f>'Form Responses 1'!D207</x:f>
        <x:v>0</x:v>
      </x:c>
      <x:c r="E207" s="18" t="n">
        <x:f>'Form Responses 1'!E207</x:f>
        <x:v>0</x:v>
      </x:c>
      <x:c r="F207" s="18" t="n">
        <x:f>'Form Responses 1'!F207</x:f>
        <x:v>0</x:v>
      </x:c>
      <x:c r="G207" s="18" t="n">
        <x:f>'Form Responses 1'!G207</x:f>
        <x:v>0</x:v>
      </x:c>
      <x:c r="H207" s="18" t="str">
        <x:f>IF($C207="","",IFERROR(VLOOKUP($C207,Matches!$A$2:$Q$200,5,FALSE),"Unknown"))</x:f>
      </x:c>
      <x:c r="I207" s="60" t="str">
        <x:f>IF($C207="","",IFERROR(VLOOKUP($C207,Matches!$A$2:$Q$200,16,FALSE),""))</x:f>
      </x:c>
      <x:c r="J207" s="18" t="str">
        <x:f>IF($C207="","",IFERROR(VLOOKUP($C207,Matches!$A$2:$Q$200,11,FALSE),""))</x:f>
      </x:c>
      <x:c r="K207" s="18" t="str">
        <x:f>IF($C207="","",IFERROR(VLOOKUP($C207,Matches!$A$2:$Q$200,12,FALSE),""))</x:f>
      </x:c>
      <x:c r="L207" s="18" t="str">
        <x:f>IF($A207="","",IF($C207=1,"Yes",IF(OR($I207="",$A207&lt;$I207),"Yes","Late")))</x:f>
      </x:c>
      <x:c r="M207" s="66" t="str">
        <x:f>IF($A207="","",IF($L207&lt;&gt;"Yes",0,IF($E207="",0,IF($J207="",0,IF($H207="Group",IF($E207=$J207,Setup!$H$2,Setup!$H$3),IF($E207=$K207,Setup!$H$2,Setup!$H$3))))))</x:f>
      </x:c>
      <x:c r="N207" s="66" t="str">
        <x:f>IF($A207="","",IF($L207&lt;&gt;"Yes",0,IF(OR($F207="",$G207=""),0,IF(AND($F207=VLOOKUP($C207,Matches!$A$2:$Q$200,9,FALSE),$G207=VLOOKUP($C207,Matches!$A$2:$Q$200,10,FALSE)),Setup!$H$5,0))))</x:f>
      </x:c>
      <x:c r="O207" s="66" t="str">
        <x:f>IF($A207="","",$M207+$N207)</x:f>
      </x:c>
      <x:c r="P207" s="18" t="str">
        <x:f>IF($A207="","",IF($L207="Late","Late - 0 points",IF($J207="","Waiting for result",IF($O207&gt;0,"Scored",IF($O207&lt;0,"Wrong pick","No points")))))</x:f>
      </x:c>
    </x:row>
    <x:row r="208">
      <x:c r="A208" s="60" t="n">
        <x:f>'Form Responses 1'!A208</x:f>
        <x:v>0</x:v>
      </x:c>
      <x:c r="B208" s="18" t="n">
        <x:f>'Form Responses 1'!B208</x:f>
        <x:v>0</x:v>
      </x:c>
      <x:c r="C208" s="18" t="n">
        <x:f>'Form Responses 1'!C208</x:f>
        <x:v>0</x:v>
      </x:c>
      <x:c r="D208" s="18" t="n">
        <x:f>'Form Responses 1'!D208</x:f>
        <x:v>0</x:v>
      </x:c>
      <x:c r="E208" s="18" t="n">
        <x:f>'Form Responses 1'!E208</x:f>
        <x:v>0</x:v>
      </x:c>
      <x:c r="F208" s="18" t="n">
        <x:f>'Form Responses 1'!F208</x:f>
        <x:v>0</x:v>
      </x:c>
      <x:c r="G208" s="18" t="n">
        <x:f>'Form Responses 1'!G208</x:f>
        <x:v>0</x:v>
      </x:c>
      <x:c r="H208" s="18" t="str">
        <x:f>IF($C208="","",IFERROR(VLOOKUP($C208,Matches!$A$2:$Q$200,5,FALSE),"Unknown"))</x:f>
      </x:c>
      <x:c r="I208" s="60" t="str">
        <x:f>IF($C208="","",IFERROR(VLOOKUP($C208,Matches!$A$2:$Q$200,16,FALSE),""))</x:f>
      </x:c>
      <x:c r="J208" s="18" t="str">
        <x:f>IF($C208="","",IFERROR(VLOOKUP($C208,Matches!$A$2:$Q$200,11,FALSE),""))</x:f>
      </x:c>
      <x:c r="K208" s="18" t="str">
        <x:f>IF($C208="","",IFERROR(VLOOKUP($C208,Matches!$A$2:$Q$200,12,FALSE),""))</x:f>
      </x:c>
      <x:c r="L208" s="18" t="str">
        <x:f>IF($A208="","",IF($C208=1,"Yes",IF(OR($I208="",$A208&lt;$I208),"Yes","Late")))</x:f>
      </x:c>
      <x:c r="M208" s="66" t="str">
        <x:f>IF($A208="","",IF($L208&lt;&gt;"Yes",0,IF($E208="",0,IF($J208="",0,IF($H208="Group",IF($E208=$J208,Setup!$H$2,Setup!$H$3),IF($E208=$K208,Setup!$H$2,Setup!$H$3))))))</x:f>
      </x:c>
      <x:c r="N208" s="66" t="str">
        <x:f>IF($A208="","",IF($L208&lt;&gt;"Yes",0,IF(OR($F208="",$G208=""),0,IF(AND($F208=VLOOKUP($C208,Matches!$A$2:$Q$200,9,FALSE),$G208=VLOOKUP($C208,Matches!$A$2:$Q$200,10,FALSE)),Setup!$H$5,0))))</x:f>
      </x:c>
      <x:c r="O208" s="66" t="str">
        <x:f>IF($A208="","",$M208+$N208)</x:f>
      </x:c>
      <x:c r="P208" s="18" t="str">
        <x:f>IF($A208="","",IF($L208="Late","Late - 0 points",IF($J208="","Waiting for result",IF($O208&gt;0,"Scored",IF($O208&lt;0,"Wrong pick","No points")))))</x:f>
      </x:c>
    </x:row>
    <x:row r="209">
      <x:c r="A209" s="60" t="n">
        <x:f>'Form Responses 1'!A209</x:f>
        <x:v>0</x:v>
      </x:c>
      <x:c r="B209" s="18" t="n">
        <x:f>'Form Responses 1'!B209</x:f>
        <x:v>0</x:v>
      </x:c>
      <x:c r="C209" s="18" t="n">
        <x:f>'Form Responses 1'!C209</x:f>
        <x:v>0</x:v>
      </x:c>
      <x:c r="D209" s="18" t="n">
        <x:f>'Form Responses 1'!D209</x:f>
        <x:v>0</x:v>
      </x:c>
      <x:c r="E209" s="18" t="n">
        <x:f>'Form Responses 1'!E209</x:f>
        <x:v>0</x:v>
      </x:c>
      <x:c r="F209" s="18" t="n">
        <x:f>'Form Responses 1'!F209</x:f>
        <x:v>0</x:v>
      </x:c>
      <x:c r="G209" s="18" t="n">
        <x:f>'Form Responses 1'!G209</x:f>
        <x:v>0</x:v>
      </x:c>
      <x:c r="H209" s="18" t="str">
        <x:f>IF($C209="","",IFERROR(VLOOKUP($C209,Matches!$A$2:$Q$200,5,FALSE),"Unknown"))</x:f>
      </x:c>
      <x:c r="I209" s="60" t="str">
        <x:f>IF($C209="","",IFERROR(VLOOKUP($C209,Matches!$A$2:$Q$200,16,FALSE),""))</x:f>
      </x:c>
      <x:c r="J209" s="18" t="str">
        <x:f>IF($C209="","",IFERROR(VLOOKUP($C209,Matches!$A$2:$Q$200,11,FALSE),""))</x:f>
      </x:c>
      <x:c r="K209" s="18" t="str">
        <x:f>IF($C209="","",IFERROR(VLOOKUP($C209,Matches!$A$2:$Q$200,12,FALSE),""))</x:f>
      </x:c>
      <x:c r="L209" s="18" t="str">
        <x:f>IF($A209="","",IF($C209=1,"Yes",IF(OR($I209="",$A209&lt;$I209),"Yes","Late")))</x:f>
      </x:c>
      <x:c r="M209" s="66" t="str">
        <x:f>IF($A209="","",IF($L209&lt;&gt;"Yes",0,IF($E209="",0,IF($J209="",0,IF($H209="Group",IF($E209=$J209,Setup!$H$2,Setup!$H$3),IF($E209=$K209,Setup!$H$2,Setup!$H$3))))))</x:f>
      </x:c>
      <x:c r="N209" s="66" t="str">
        <x:f>IF($A209="","",IF($L209&lt;&gt;"Yes",0,IF(OR($F209="",$G209=""),0,IF(AND($F209=VLOOKUP($C209,Matches!$A$2:$Q$200,9,FALSE),$G209=VLOOKUP($C209,Matches!$A$2:$Q$200,10,FALSE)),Setup!$H$5,0))))</x:f>
      </x:c>
      <x:c r="O209" s="66" t="str">
        <x:f>IF($A209="","",$M209+$N209)</x:f>
      </x:c>
      <x:c r="P209" s="18" t="str">
        <x:f>IF($A209="","",IF($L209="Late","Late - 0 points",IF($J209="","Waiting for result",IF($O209&gt;0,"Scored",IF($O209&lt;0,"Wrong pick","No points")))))</x:f>
      </x:c>
    </x:row>
    <x:row r="210">
      <x:c r="A210" s="60" t="n">
        <x:f>'Form Responses 1'!A210</x:f>
        <x:v>0</x:v>
      </x:c>
      <x:c r="B210" s="18" t="n">
        <x:f>'Form Responses 1'!B210</x:f>
        <x:v>0</x:v>
      </x:c>
      <x:c r="C210" s="18" t="n">
        <x:f>'Form Responses 1'!C210</x:f>
        <x:v>0</x:v>
      </x:c>
      <x:c r="D210" s="18" t="n">
        <x:f>'Form Responses 1'!D210</x:f>
        <x:v>0</x:v>
      </x:c>
      <x:c r="E210" s="18" t="n">
        <x:f>'Form Responses 1'!E210</x:f>
        <x:v>0</x:v>
      </x:c>
      <x:c r="F210" s="18" t="n">
        <x:f>'Form Responses 1'!F210</x:f>
        <x:v>0</x:v>
      </x:c>
      <x:c r="G210" s="18" t="n">
        <x:f>'Form Responses 1'!G210</x:f>
        <x:v>0</x:v>
      </x:c>
      <x:c r="H210" s="18" t="str">
        <x:f>IF($C210="","",IFERROR(VLOOKUP($C210,Matches!$A$2:$Q$200,5,FALSE),"Unknown"))</x:f>
      </x:c>
      <x:c r="I210" s="60" t="str">
        <x:f>IF($C210="","",IFERROR(VLOOKUP($C210,Matches!$A$2:$Q$200,16,FALSE),""))</x:f>
      </x:c>
      <x:c r="J210" s="18" t="str">
        <x:f>IF($C210="","",IFERROR(VLOOKUP($C210,Matches!$A$2:$Q$200,11,FALSE),""))</x:f>
      </x:c>
      <x:c r="K210" s="18" t="str">
        <x:f>IF($C210="","",IFERROR(VLOOKUP($C210,Matches!$A$2:$Q$200,12,FALSE),""))</x:f>
      </x:c>
      <x:c r="L210" s="18" t="str">
        <x:f>IF($A210="","",IF($C210=1,"Yes",IF(OR($I210="",$A210&lt;$I210),"Yes","Late")))</x:f>
      </x:c>
      <x:c r="M210" s="66" t="str">
        <x:f>IF($A210="","",IF($L210&lt;&gt;"Yes",0,IF($E210="",0,IF($J210="",0,IF($H210="Group",IF($E210=$J210,Setup!$H$2,Setup!$H$3),IF($E210=$K210,Setup!$H$2,Setup!$H$3))))))</x:f>
      </x:c>
      <x:c r="N210" s="66" t="str">
        <x:f>IF($A210="","",IF($L210&lt;&gt;"Yes",0,IF(OR($F210="",$G210=""),0,IF(AND($F210=VLOOKUP($C210,Matches!$A$2:$Q$200,9,FALSE),$G210=VLOOKUP($C210,Matches!$A$2:$Q$200,10,FALSE)),Setup!$H$5,0))))</x:f>
      </x:c>
      <x:c r="O210" s="66" t="str">
        <x:f>IF($A210="","",$M210+$N210)</x:f>
      </x:c>
      <x:c r="P210" s="18" t="str">
        <x:f>IF($A210="","",IF($L210="Late","Late - 0 points",IF($J210="","Waiting for result",IF($O210&gt;0,"Scored",IF($O210&lt;0,"Wrong pick","No points")))))</x:f>
      </x:c>
    </x:row>
    <x:row r="211">
      <x:c r="A211" s="60" t="n">
        <x:f>'Form Responses 1'!A211</x:f>
        <x:v>0</x:v>
      </x:c>
      <x:c r="B211" s="18" t="n">
        <x:f>'Form Responses 1'!B211</x:f>
        <x:v>0</x:v>
      </x:c>
      <x:c r="C211" s="18" t="n">
        <x:f>'Form Responses 1'!C211</x:f>
        <x:v>0</x:v>
      </x:c>
      <x:c r="D211" s="18" t="n">
        <x:f>'Form Responses 1'!D211</x:f>
        <x:v>0</x:v>
      </x:c>
      <x:c r="E211" s="18" t="n">
        <x:f>'Form Responses 1'!E211</x:f>
        <x:v>0</x:v>
      </x:c>
      <x:c r="F211" s="18" t="n">
        <x:f>'Form Responses 1'!F211</x:f>
        <x:v>0</x:v>
      </x:c>
      <x:c r="G211" s="18" t="n">
        <x:f>'Form Responses 1'!G211</x:f>
        <x:v>0</x:v>
      </x:c>
      <x:c r="H211" s="18" t="str">
        <x:f>IF($C211="","",IFERROR(VLOOKUP($C211,Matches!$A$2:$Q$200,5,FALSE),"Unknown"))</x:f>
      </x:c>
      <x:c r="I211" s="60" t="str">
        <x:f>IF($C211="","",IFERROR(VLOOKUP($C211,Matches!$A$2:$Q$200,16,FALSE),""))</x:f>
      </x:c>
      <x:c r="J211" s="18" t="str">
        <x:f>IF($C211="","",IFERROR(VLOOKUP($C211,Matches!$A$2:$Q$200,11,FALSE),""))</x:f>
      </x:c>
      <x:c r="K211" s="18" t="str">
        <x:f>IF($C211="","",IFERROR(VLOOKUP($C211,Matches!$A$2:$Q$200,12,FALSE),""))</x:f>
      </x:c>
      <x:c r="L211" s="18" t="str">
        <x:f>IF($A211="","",IF($C211=1,"Yes",IF(OR($I211="",$A211&lt;$I211),"Yes","Late")))</x:f>
      </x:c>
      <x:c r="M211" s="66" t="str">
        <x:f>IF($A211="","",IF($L211&lt;&gt;"Yes",0,IF($E211="",0,IF($J211="",0,IF($H211="Group",IF($E211=$J211,Setup!$H$2,Setup!$H$3),IF($E211=$K211,Setup!$H$2,Setup!$H$3))))))</x:f>
      </x:c>
      <x:c r="N211" s="66" t="str">
        <x:f>IF($A211="","",IF($L211&lt;&gt;"Yes",0,IF(OR($F211="",$G211=""),0,IF(AND($F211=VLOOKUP($C211,Matches!$A$2:$Q$200,9,FALSE),$G211=VLOOKUP($C211,Matches!$A$2:$Q$200,10,FALSE)),Setup!$H$5,0))))</x:f>
      </x:c>
      <x:c r="O211" s="66" t="str">
        <x:f>IF($A211="","",$M211+$N211)</x:f>
      </x:c>
      <x:c r="P211" s="18" t="str">
        <x:f>IF($A211="","",IF($L211="Late","Late - 0 points",IF($J211="","Waiting for result",IF($O211&gt;0,"Scored",IF($O211&lt;0,"Wrong pick","No points")))))</x:f>
      </x:c>
    </x:row>
    <x:row r="212">
      <x:c r="A212" s="60" t="n">
        <x:f>'Form Responses 1'!A212</x:f>
        <x:v>0</x:v>
      </x:c>
      <x:c r="B212" s="18" t="n">
        <x:f>'Form Responses 1'!B212</x:f>
        <x:v>0</x:v>
      </x:c>
      <x:c r="C212" s="18" t="n">
        <x:f>'Form Responses 1'!C212</x:f>
        <x:v>0</x:v>
      </x:c>
      <x:c r="D212" s="18" t="n">
        <x:f>'Form Responses 1'!D212</x:f>
        <x:v>0</x:v>
      </x:c>
      <x:c r="E212" s="18" t="n">
        <x:f>'Form Responses 1'!E212</x:f>
        <x:v>0</x:v>
      </x:c>
      <x:c r="F212" s="18" t="n">
        <x:f>'Form Responses 1'!F212</x:f>
        <x:v>0</x:v>
      </x:c>
      <x:c r="G212" s="18" t="n">
        <x:f>'Form Responses 1'!G212</x:f>
        <x:v>0</x:v>
      </x:c>
      <x:c r="H212" s="18" t="str">
        <x:f>IF($C212="","",IFERROR(VLOOKUP($C212,Matches!$A$2:$Q$200,5,FALSE),"Unknown"))</x:f>
      </x:c>
      <x:c r="I212" s="60" t="str">
        <x:f>IF($C212="","",IFERROR(VLOOKUP($C212,Matches!$A$2:$Q$200,16,FALSE),""))</x:f>
      </x:c>
      <x:c r="J212" s="18" t="str">
        <x:f>IF($C212="","",IFERROR(VLOOKUP($C212,Matches!$A$2:$Q$200,11,FALSE),""))</x:f>
      </x:c>
      <x:c r="K212" s="18" t="str">
        <x:f>IF($C212="","",IFERROR(VLOOKUP($C212,Matches!$A$2:$Q$200,12,FALSE),""))</x:f>
      </x:c>
      <x:c r="L212" s="18" t="str">
        <x:f>IF($A212="","",IF($C212=1,"Yes",IF(OR($I212="",$A212&lt;$I212),"Yes","Late")))</x:f>
      </x:c>
      <x:c r="M212" s="66" t="str">
        <x:f>IF($A212="","",IF($L212&lt;&gt;"Yes",0,IF($E212="",0,IF($J212="",0,IF($H212="Group",IF($E212=$J212,Setup!$H$2,Setup!$H$3),IF($E212=$K212,Setup!$H$2,Setup!$H$3))))))</x:f>
      </x:c>
      <x:c r="N212" s="66" t="str">
        <x:f>IF($A212="","",IF($L212&lt;&gt;"Yes",0,IF(OR($F212="",$G212=""),0,IF(AND($F212=VLOOKUP($C212,Matches!$A$2:$Q$200,9,FALSE),$G212=VLOOKUP($C212,Matches!$A$2:$Q$200,10,FALSE)),Setup!$H$5,0))))</x:f>
      </x:c>
      <x:c r="O212" s="66" t="str">
        <x:f>IF($A212="","",$M212+$N212)</x:f>
      </x:c>
      <x:c r="P212" s="18" t="str">
        <x:f>IF($A212="","",IF($L212="Late","Late - 0 points",IF($J212="","Waiting for result",IF($O212&gt;0,"Scored",IF($O212&lt;0,"Wrong pick","No points")))))</x:f>
      </x:c>
    </x:row>
    <x:row r="213">
      <x:c r="A213" s="60" t="n">
        <x:f>'Form Responses 1'!A213</x:f>
        <x:v>0</x:v>
      </x:c>
      <x:c r="B213" s="18" t="n">
        <x:f>'Form Responses 1'!B213</x:f>
        <x:v>0</x:v>
      </x:c>
      <x:c r="C213" s="18" t="n">
        <x:f>'Form Responses 1'!C213</x:f>
        <x:v>0</x:v>
      </x:c>
      <x:c r="D213" s="18" t="n">
        <x:f>'Form Responses 1'!D213</x:f>
        <x:v>0</x:v>
      </x:c>
      <x:c r="E213" s="18" t="n">
        <x:f>'Form Responses 1'!E213</x:f>
        <x:v>0</x:v>
      </x:c>
      <x:c r="F213" s="18" t="n">
        <x:f>'Form Responses 1'!F213</x:f>
        <x:v>0</x:v>
      </x:c>
      <x:c r="G213" s="18" t="n">
        <x:f>'Form Responses 1'!G213</x:f>
        <x:v>0</x:v>
      </x:c>
      <x:c r="H213" s="18" t="str">
        <x:f>IF($C213="","",IFERROR(VLOOKUP($C213,Matches!$A$2:$Q$200,5,FALSE),"Unknown"))</x:f>
      </x:c>
      <x:c r="I213" s="60" t="str">
        <x:f>IF($C213="","",IFERROR(VLOOKUP($C213,Matches!$A$2:$Q$200,16,FALSE),""))</x:f>
      </x:c>
      <x:c r="J213" s="18" t="str">
        <x:f>IF($C213="","",IFERROR(VLOOKUP($C213,Matches!$A$2:$Q$200,11,FALSE),""))</x:f>
      </x:c>
      <x:c r="K213" s="18" t="str">
        <x:f>IF($C213="","",IFERROR(VLOOKUP($C213,Matches!$A$2:$Q$200,12,FALSE),""))</x:f>
      </x:c>
      <x:c r="L213" s="18" t="str">
        <x:f>IF($A213="","",IF($C213=1,"Yes",IF(OR($I213="",$A213&lt;$I213),"Yes","Late")))</x:f>
      </x:c>
      <x:c r="M213" s="66" t="str">
        <x:f>IF($A213="","",IF($L213&lt;&gt;"Yes",0,IF($E213="",0,IF($J213="",0,IF($H213="Group",IF($E213=$J213,Setup!$H$2,Setup!$H$3),IF($E213=$K213,Setup!$H$2,Setup!$H$3))))))</x:f>
      </x:c>
      <x:c r="N213" s="66" t="str">
        <x:f>IF($A213="","",IF($L213&lt;&gt;"Yes",0,IF(OR($F213="",$G213=""),0,IF(AND($F213=VLOOKUP($C213,Matches!$A$2:$Q$200,9,FALSE),$G213=VLOOKUP($C213,Matches!$A$2:$Q$200,10,FALSE)),Setup!$H$5,0))))</x:f>
      </x:c>
      <x:c r="O213" s="66" t="str">
        <x:f>IF($A213="","",$M213+$N213)</x:f>
      </x:c>
      <x:c r="P213" s="18" t="str">
        <x:f>IF($A213="","",IF($L213="Late","Late - 0 points",IF($J213="","Waiting for result",IF($O213&gt;0,"Scored",IF($O213&lt;0,"Wrong pick","No points")))))</x:f>
      </x:c>
    </x:row>
    <x:row r="214">
      <x:c r="A214" s="60" t="n">
        <x:f>'Form Responses 1'!A214</x:f>
        <x:v>0</x:v>
      </x:c>
      <x:c r="B214" s="18" t="n">
        <x:f>'Form Responses 1'!B214</x:f>
        <x:v>0</x:v>
      </x:c>
      <x:c r="C214" s="18" t="n">
        <x:f>'Form Responses 1'!C214</x:f>
        <x:v>0</x:v>
      </x:c>
      <x:c r="D214" s="18" t="n">
        <x:f>'Form Responses 1'!D214</x:f>
        <x:v>0</x:v>
      </x:c>
      <x:c r="E214" s="18" t="n">
        <x:f>'Form Responses 1'!E214</x:f>
        <x:v>0</x:v>
      </x:c>
      <x:c r="F214" s="18" t="n">
        <x:f>'Form Responses 1'!F214</x:f>
        <x:v>0</x:v>
      </x:c>
      <x:c r="G214" s="18" t="n">
        <x:f>'Form Responses 1'!G214</x:f>
        <x:v>0</x:v>
      </x:c>
      <x:c r="H214" s="18" t="str">
        <x:f>IF($C214="","",IFERROR(VLOOKUP($C214,Matches!$A$2:$Q$200,5,FALSE),"Unknown"))</x:f>
      </x:c>
      <x:c r="I214" s="60" t="str">
        <x:f>IF($C214="","",IFERROR(VLOOKUP($C214,Matches!$A$2:$Q$200,16,FALSE),""))</x:f>
      </x:c>
      <x:c r="J214" s="18" t="str">
        <x:f>IF($C214="","",IFERROR(VLOOKUP($C214,Matches!$A$2:$Q$200,11,FALSE),""))</x:f>
      </x:c>
      <x:c r="K214" s="18" t="str">
        <x:f>IF($C214="","",IFERROR(VLOOKUP($C214,Matches!$A$2:$Q$200,12,FALSE),""))</x:f>
      </x:c>
      <x:c r="L214" s="18" t="str">
        <x:f>IF($A214="","",IF($C214=1,"Yes",IF(OR($I214="",$A214&lt;$I214),"Yes","Late")))</x:f>
      </x:c>
      <x:c r="M214" s="66" t="str">
        <x:f>IF($A214="","",IF($L214&lt;&gt;"Yes",0,IF($E214="",0,IF($J214="",0,IF($H214="Group",IF($E214=$J214,Setup!$H$2,Setup!$H$3),IF($E214=$K214,Setup!$H$2,Setup!$H$3))))))</x:f>
      </x:c>
      <x:c r="N214" s="66" t="str">
        <x:f>IF($A214="","",IF($L214&lt;&gt;"Yes",0,IF(OR($F214="",$G214=""),0,IF(AND($F214=VLOOKUP($C214,Matches!$A$2:$Q$200,9,FALSE),$G214=VLOOKUP($C214,Matches!$A$2:$Q$200,10,FALSE)),Setup!$H$5,0))))</x:f>
      </x:c>
      <x:c r="O214" s="66" t="str">
        <x:f>IF($A214="","",$M214+$N214)</x:f>
      </x:c>
      <x:c r="P214" s="18" t="str">
        <x:f>IF($A214="","",IF($L214="Late","Late - 0 points",IF($J214="","Waiting for result",IF($O214&gt;0,"Scored",IF($O214&lt;0,"Wrong pick","No points")))))</x:f>
      </x:c>
    </x:row>
    <x:row r="215">
      <x:c r="A215" s="60" t="n">
        <x:f>'Form Responses 1'!A215</x:f>
        <x:v>0</x:v>
      </x:c>
      <x:c r="B215" s="18" t="n">
        <x:f>'Form Responses 1'!B215</x:f>
        <x:v>0</x:v>
      </x:c>
      <x:c r="C215" s="18" t="n">
        <x:f>'Form Responses 1'!C215</x:f>
        <x:v>0</x:v>
      </x:c>
      <x:c r="D215" s="18" t="n">
        <x:f>'Form Responses 1'!D215</x:f>
        <x:v>0</x:v>
      </x:c>
      <x:c r="E215" s="18" t="n">
        <x:f>'Form Responses 1'!E215</x:f>
        <x:v>0</x:v>
      </x:c>
      <x:c r="F215" s="18" t="n">
        <x:f>'Form Responses 1'!F215</x:f>
        <x:v>0</x:v>
      </x:c>
      <x:c r="G215" s="18" t="n">
        <x:f>'Form Responses 1'!G215</x:f>
        <x:v>0</x:v>
      </x:c>
      <x:c r="H215" s="18" t="str">
        <x:f>IF($C215="","",IFERROR(VLOOKUP($C215,Matches!$A$2:$Q$200,5,FALSE),"Unknown"))</x:f>
      </x:c>
      <x:c r="I215" s="60" t="str">
        <x:f>IF($C215="","",IFERROR(VLOOKUP($C215,Matches!$A$2:$Q$200,16,FALSE),""))</x:f>
      </x:c>
      <x:c r="J215" s="18" t="str">
        <x:f>IF($C215="","",IFERROR(VLOOKUP($C215,Matches!$A$2:$Q$200,11,FALSE),""))</x:f>
      </x:c>
      <x:c r="K215" s="18" t="str">
        <x:f>IF($C215="","",IFERROR(VLOOKUP($C215,Matches!$A$2:$Q$200,12,FALSE),""))</x:f>
      </x:c>
      <x:c r="L215" s="18" t="str">
        <x:f>IF($A215="","",IF($C215=1,"Yes",IF(OR($I215="",$A215&lt;$I215),"Yes","Late")))</x:f>
      </x:c>
      <x:c r="M215" s="66" t="str">
        <x:f>IF($A215="","",IF($L215&lt;&gt;"Yes",0,IF($E215="",0,IF($J215="",0,IF($H215="Group",IF($E215=$J215,Setup!$H$2,Setup!$H$3),IF($E215=$K215,Setup!$H$2,Setup!$H$3))))))</x:f>
      </x:c>
      <x:c r="N215" s="66" t="str">
        <x:f>IF($A215="","",IF($L215&lt;&gt;"Yes",0,IF(OR($F215="",$G215=""),0,IF(AND($F215=VLOOKUP($C215,Matches!$A$2:$Q$200,9,FALSE),$G215=VLOOKUP($C215,Matches!$A$2:$Q$200,10,FALSE)),Setup!$H$5,0))))</x:f>
      </x:c>
      <x:c r="O215" s="66" t="str">
        <x:f>IF($A215="","",$M215+$N215)</x:f>
      </x:c>
      <x:c r="P215" s="18" t="str">
        <x:f>IF($A215="","",IF($L215="Late","Late - 0 points",IF($J215="","Waiting for result",IF($O215&gt;0,"Scored",IF($O215&lt;0,"Wrong pick","No points")))))</x:f>
      </x:c>
    </x:row>
    <x:row r="216">
      <x:c r="A216" s="60" t="n">
        <x:f>'Form Responses 1'!A216</x:f>
        <x:v>0</x:v>
      </x:c>
      <x:c r="B216" s="18" t="n">
        <x:f>'Form Responses 1'!B216</x:f>
        <x:v>0</x:v>
      </x:c>
      <x:c r="C216" s="18" t="n">
        <x:f>'Form Responses 1'!C216</x:f>
        <x:v>0</x:v>
      </x:c>
      <x:c r="D216" s="18" t="n">
        <x:f>'Form Responses 1'!D216</x:f>
        <x:v>0</x:v>
      </x:c>
      <x:c r="E216" s="18" t="n">
        <x:f>'Form Responses 1'!E216</x:f>
        <x:v>0</x:v>
      </x:c>
      <x:c r="F216" s="18" t="n">
        <x:f>'Form Responses 1'!F216</x:f>
        <x:v>0</x:v>
      </x:c>
      <x:c r="G216" s="18" t="n">
        <x:f>'Form Responses 1'!G216</x:f>
        <x:v>0</x:v>
      </x:c>
      <x:c r="H216" s="18" t="str">
        <x:f>IF($C216="","",IFERROR(VLOOKUP($C216,Matches!$A$2:$Q$200,5,FALSE),"Unknown"))</x:f>
      </x:c>
      <x:c r="I216" s="60" t="str">
        <x:f>IF($C216="","",IFERROR(VLOOKUP($C216,Matches!$A$2:$Q$200,16,FALSE),""))</x:f>
      </x:c>
      <x:c r="J216" s="18" t="str">
        <x:f>IF($C216="","",IFERROR(VLOOKUP($C216,Matches!$A$2:$Q$200,11,FALSE),""))</x:f>
      </x:c>
      <x:c r="K216" s="18" t="str">
        <x:f>IF($C216="","",IFERROR(VLOOKUP($C216,Matches!$A$2:$Q$200,12,FALSE),""))</x:f>
      </x:c>
      <x:c r="L216" s="18" t="str">
        <x:f>IF($A216="","",IF($C216=1,"Yes",IF(OR($I216="",$A216&lt;$I216),"Yes","Late")))</x:f>
      </x:c>
      <x:c r="M216" s="66" t="str">
        <x:f>IF($A216="","",IF($L216&lt;&gt;"Yes",0,IF($E216="",0,IF($J216="",0,IF($H216="Group",IF($E216=$J216,Setup!$H$2,Setup!$H$3),IF($E216=$K216,Setup!$H$2,Setup!$H$3))))))</x:f>
      </x:c>
      <x:c r="N216" s="66" t="str">
        <x:f>IF($A216="","",IF($L216&lt;&gt;"Yes",0,IF(OR($F216="",$G216=""),0,IF(AND($F216=VLOOKUP($C216,Matches!$A$2:$Q$200,9,FALSE),$G216=VLOOKUP($C216,Matches!$A$2:$Q$200,10,FALSE)),Setup!$H$5,0))))</x:f>
      </x:c>
      <x:c r="O216" s="66" t="str">
        <x:f>IF($A216="","",$M216+$N216)</x:f>
      </x:c>
      <x:c r="P216" s="18" t="str">
        <x:f>IF($A216="","",IF($L216="Late","Late - 0 points",IF($J216="","Waiting for result",IF($O216&gt;0,"Scored",IF($O216&lt;0,"Wrong pick","No points")))))</x:f>
      </x:c>
    </x:row>
    <x:row r="217">
      <x:c r="A217" s="60" t="n">
        <x:f>'Form Responses 1'!A217</x:f>
        <x:v>0</x:v>
      </x:c>
      <x:c r="B217" s="18" t="n">
        <x:f>'Form Responses 1'!B217</x:f>
        <x:v>0</x:v>
      </x:c>
      <x:c r="C217" s="18" t="n">
        <x:f>'Form Responses 1'!C217</x:f>
        <x:v>0</x:v>
      </x:c>
      <x:c r="D217" s="18" t="n">
        <x:f>'Form Responses 1'!D217</x:f>
        <x:v>0</x:v>
      </x:c>
      <x:c r="E217" s="18" t="n">
        <x:f>'Form Responses 1'!E217</x:f>
        <x:v>0</x:v>
      </x:c>
      <x:c r="F217" s="18" t="n">
        <x:f>'Form Responses 1'!F217</x:f>
        <x:v>0</x:v>
      </x:c>
      <x:c r="G217" s="18" t="n">
        <x:f>'Form Responses 1'!G217</x:f>
        <x:v>0</x:v>
      </x:c>
      <x:c r="H217" s="18" t="str">
        <x:f>IF($C217="","",IFERROR(VLOOKUP($C217,Matches!$A$2:$Q$200,5,FALSE),"Unknown"))</x:f>
      </x:c>
      <x:c r="I217" s="60" t="str">
        <x:f>IF($C217="","",IFERROR(VLOOKUP($C217,Matches!$A$2:$Q$200,16,FALSE),""))</x:f>
      </x:c>
      <x:c r="J217" s="18" t="str">
        <x:f>IF($C217="","",IFERROR(VLOOKUP($C217,Matches!$A$2:$Q$200,11,FALSE),""))</x:f>
      </x:c>
      <x:c r="K217" s="18" t="str">
        <x:f>IF($C217="","",IFERROR(VLOOKUP($C217,Matches!$A$2:$Q$200,12,FALSE),""))</x:f>
      </x:c>
      <x:c r="L217" s="18" t="str">
        <x:f>IF($A217="","",IF($C217=1,"Yes",IF(OR($I217="",$A217&lt;$I217),"Yes","Late")))</x:f>
      </x:c>
      <x:c r="M217" s="66" t="str">
        <x:f>IF($A217="","",IF($L217&lt;&gt;"Yes",0,IF($E217="",0,IF($J217="",0,IF($H217="Group",IF($E217=$J217,Setup!$H$2,Setup!$H$3),IF($E217=$K217,Setup!$H$2,Setup!$H$3))))))</x:f>
      </x:c>
      <x:c r="N217" s="66" t="str">
        <x:f>IF($A217="","",IF($L217&lt;&gt;"Yes",0,IF(OR($F217="",$G217=""),0,IF(AND($F217=VLOOKUP($C217,Matches!$A$2:$Q$200,9,FALSE),$G217=VLOOKUP($C217,Matches!$A$2:$Q$200,10,FALSE)),Setup!$H$5,0))))</x:f>
      </x:c>
      <x:c r="O217" s="66" t="str">
        <x:f>IF($A217="","",$M217+$N217)</x:f>
      </x:c>
      <x:c r="P217" s="18" t="str">
        <x:f>IF($A217="","",IF($L217="Late","Late - 0 points",IF($J217="","Waiting for result",IF($O217&gt;0,"Scored",IF($O217&lt;0,"Wrong pick","No points")))))</x:f>
      </x:c>
    </x:row>
    <x:row r="218">
      <x:c r="A218" s="60" t="n">
        <x:f>'Form Responses 1'!A218</x:f>
        <x:v>0</x:v>
      </x:c>
      <x:c r="B218" s="18" t="n">
        <x:f>'Form Responses 1'!B218</x:f>
        <x:v>0</x:v>
      </x:c>
      <x:c r="C218" s="18" t="n">
        <x:f>'Form Responses 1'!C218</x:f>
        <x:v>0</x:v>
      </x:c>
      <x:c r="D218" s="18" t="n">
        <x:f>'Form Responses 1'!D218</x:f>
        <x:v>0</x:v>
      </x:c>
      <x:c r="E218" s="18" t="n">
        <x:f>'Form Responses 1'!E218</x:f>
        <x:v>0</x:v>
      </x:c>
      <x:c r="F218" s="18" t="n">
        <x:f>'Form Responses 1'!F218</x:f>
        <x:v>0</x:v>
      </x:c>
      <x:c r="G218" s="18" t="n">
        <x:f>'Form Responses 1'!G218</x:f>
        <x:v>0</x:v>
      </x:c>
      <x:c r="H218" s="18" t="str">
        <x:f>IF($C218="","",IFERROR(VLOOKUP($C218,Matches!$A$2:$Q$200,5,FALSE),"Unknown"))</x:f>
      </x:c>
      <x:c r="I218" s="60" t="str">
        <x:f>IF($C218="","",IFERROR(VLOOKUP($C218,Matches!$A$2:$Q$200,16,FALSE),""))</x:f>
      </x:c>
      <x:c r="J218" s="18" t="str">
        <x:f>IF($C218="","",IFERROR(VLOOKUP($C218,Matches!$A$2:$Q$200,11,FALSE),""))</x:f>
      </x:c>
      <x:c r="K218" s="18" t="str">
        <x:f>IF($C218="","",IFERROR(VLOOKUP($C218,Matches!$A$2:$Q$200,12,FALSE),""))</x:f>
      </x:c>
      <x:c r="L218" s="18" t="str">
        <x:f>IF($A218="","",IF($C218=1,"Yes",IF(OR($I218="",$A218&lt;$I218),"Yes","Late")))</x:f>
      </x:c>
      <x:c r="M218" s="66" t="str">
        <x:f>IF($A218="","",IF($L218&lt;&gt;"Yes",0,IF($E218="",0,IF($J218="",0,IF($H218="Group",IF($E218=$J218,Setup!$H$2,Setup!$H$3),IF($E218=$K218,Setup!$H$2,Setup!$H$3))))))</x:f>
      </x:c>
      <x:c r="N218" s="66" t="str">
        <x:f>IF($A218="","",IF($L218&lt;&gt;"Yes",0,IF(OR($F218="",$G218=""),0,IF(AND($F218=VLOOKUP($C218,Matches!$A$2:$Q$200,9,FALSE),$G218=VLOOKUP($C218,Matches!$A$2:$Q$200,10,FALSE)),Setup!$H$5,0))))</x:f>
      </x:c>
      <x:c r="O218" s="66" t="str">
        <x:f>IF($A218="","",$M218+$N218)</x:f>
      </x:c>
      <x:c r="P218" s="18" t="str">
        <x:f>IF($A218="","",IF($L218="Late","Late - 0 points",IF($J218="","Waiting for result",IF($O218&gt;0,"Scored",IF($O218&lt;0,"Wrong pick","No points")))))</x:f>
      </x:c>
    </x:row>
    <x:row r="219">
      <x:c r="A219" s="60" t="n">
        <x:f>'Form Responses 1'!A219</x:f>
        <x:v>0</x:v>
      </x:c>
      <x:c r="B219" s="18" t="n">
        <x:f>'Form Responses 1'!B219</x:f>
        <x:v>0</x:v>
      </x:c>
      <x:c r="C219" s="18" t="n">
        <x:f>'Form Responses 1'!C219</x:f>
        <x:v>0</x:v>
      </x:c>
      <x:c r="D219" s="18" t="n">
        <x:f>'Form Responses 1'!D219</x:f>
        <x:v>0</x:v>
      </x:c>
      <x:c r="E219" s="18" t="n">
        <x:f>'Form Responses 1'!E219</x:f>
        <x:v>0</x:v>
      </x:c>
      <x:c r="F219" s="18" t="n">
        <x:f>'Form Responses 1'!F219</x:f>
        <x:v>0</x:v>
      </x:c>
      <x:c r="G219" s="18" t="n">
        <x:f>'Form Responses 1'!G219</x:f>
        <x:v>0</x:v>
      </x:c>
      <x:c r="H219" s="18" t="str">
        <x:f>IF($C219="","",IFERROR(VLOOKUP($C219,Matches!$A$2:$Q$200,5,FALSE),"Unknown"))</x:f>
      </x:c>
      <x:c r="I219" s="60" t="str">
        <x:f>IF($C219="","",IFERROR(VLOOKUP($C219,Matches!$A$2:$Q$200,16,FALSE),""))</x:f>
      </x:c>
      <x:c r="J219" s="18" t="str">
        <x:f>IF($C219="","",IFERROR(VLOOKUP($C219,Matches!$A$2:$Q$200,11,FALSE),""))</x:f>
      </x:c>
      <x:c r="K219" s="18" t="str">
        <x:f>IF($C219="","",IFERROR(VLOOKUP($C219,Matches!$A$2:$Q$200,12,FALSE),""))</x:f>
      </x:c>
      <x:c r="L219" s="18" t="str">
        <x:f>IF($A219="","",IF($C219=1,"Yes",IF(OR($I219="",$A219&lt;$I219),"Yes","Late")))</x:f>
      </x:c>
      <x:c r="M219" s="66" t="str">
        <x:f>IF($A219="","",IF($L219&lt;&gt;"Yes",0,IF($E219="",0,IF($J219="",0,IF($H219="Group",IF($E219=$J219,Setup!$H$2,Setup!$H$3),IF($E219=$K219,Setup!$H$2,Setup!$H$3))))))</x:f>
      </x:c>
      <x:c r="N219" s="66" t="str">
        <x:f>IF($A219="","",IF($L219&lt;&gt;"Yes",0,IF(OR($F219="",$G219=""),0,IF(AND($F219=VLOOKUP($C219,Matches!$A$2:$Q$200,9,FALSE),$G219=VLOOKUP($C219,Matches!$A$2:$Q$200,10,FALSE)),Setup!$H$5,0))))</x:f>
      </x:c>
      <x:c r="O219" s="66" t="str">
        <x:f>IF($A219="","",$M219+$N219)</x:f>
      </x:c>
      <x:c r="P219" s="18" t="str">
        <x:f>IF($A219="","",IF($L219="Late","Late - 0 points",IF($J219="","Waiting for result",IF($O219&gt;0,"Scored",IF($O219&lt;0,"Wrong pick","No points")))))</x:f>
      </x:c>
    </x:row>
    <x:row r="220">
      <x:c r="A220" s="60" t="n">
        <x:f>'Form Responses 1'!A220</x:f>
        <x:v>0</x:v>
      </x:c>
      <x:c r="B220" s="18" t="n">
        <x:f>'Form Responses 1'!B220</x:f>
        <x:v>0</x:v>
      </x:c>
      <x:c r="C220" s="18" t="n">
        <x:f>'Form Responses 1'!C220</x:f>
        <x:v>0</x:v>
      </x:c>
      <x:c r="D220" s="18" t="n">
        <x:f>'Form Responses 1'!D220</x:f>
        <x:v>0</x:v>
      </x:c>
      <x:c r="E220" s="18" t="n">
        <x:f>'Form Responses 1'!E220</x:f>
        <x:v>0</x:v>
      </x:c>
      <x:c r="F220" s="18" t="n">
        <x:f>'Form Responses 1'!F220</x:f>
        <x:v>0</x:v>
      </x:c>
      <x:c r="G220" s="18" t="n">
        <x:f>'Form Responses 1'!G220</x:f>
        <x:v>0</x:v>
      </x:c>
      <x:c r="H220" s="18" t="str">
        <x:f>IF($C220="","",IFERROR(VLOOKUP($C220,Matches!$A$2:$Q$200,5,FALSE),"Unknown"))</x:f>
      </x:c>
      <x:c r="I220" s="60" t="str">
        <x:f>IF($C220="","",IFERROR(VLOOKUP($C220,Matches!$A$2:$Q$200,16,FALSE),""))</x:f>
      </x:c>
      <x:c r="J220" s="18" t="str">
        <x:f>IF($C220="","",IFERROR(VLOOKUP($C220,Matches!$A$2:$Q$200,11,FALSE),""))</x:f>
      </x:c>
      <x:c r="K220" s="18" t="str">
        <x:f>IF($C220="","",IFERROR(VLOOKUP($C220,Matches!$A$2:$Q$200,12,FALSE),""))</x:f>
      </x:c>
      <x:c r="L220" s="18" t="str">
        <x:f>IF($A220="","",IF($C220=1,"Yes",IF(OR($I220="",$A220&lt;$I220),"Yes","Late")))</x:f>
      </x:c>
      <x:c r="M220" s="66" t="str">
        <x:f>IF($A220="","",IF($L220&lt;&gt;"Yes",0,IF($E220="",0,IF($J220="",0,IF($H220="Group",IF($E220=$J220,Setup!$H$2,Setup!$H$3),IF($E220=$K220,Setup!$H$2,Setup!$H$3))))))</x:f>
      </x:c>
      <x:c r="N220" s="66" t="str">
        <x:f>IF($A220="","",IF($L220&lt;&gt;"Yes",0,IF(OR($F220="",$G220=""),0,IF(AND($F220=VLOOKUP($C220,Matches!$A$2:$Q$200,9,FALSE),$G220=VLOOKUP($C220,Matches!$A$2:$Q$200,10,FALSE)),Setup!$H$5,0))))</x:f>
      </x:c>
      <x:c r="O220" s="66" t="str">
        <x:f>IF($A220="","",$M220+$N220)</x:f>
      </x:c>
      <x:c r="P220" s="18" t="str">
        <x:f>IF($A220="","",IF($L220="Late","Late - 0 points",IF($J220="","Waiting for result",IF($O220&gt;0,"Scored",IF($O220&lt;0,"Wrong pick","No points")))))</x:f>
      </x:c>
    </x:row>
    <x:row r="221">
      <x:c r="A221" s="60" t="n">
        <x:f>'Form Responses 1'!A221</x:f>
        <x:v>0</x:v>
      </x:c>
      <x:c r="B221" s="18" t="n">
        <x:f>'Form Responses 1'!B221</x:f>
        <x:v>0</x:v>
      </x:c>
      <x:c r="C221" s="18" t="n">
        <x:f>'Form Responses 1'!C221</x:f>
        <x:v>0</x:v>
      </x:c>
      <x:c r="D221" s="18" t="n">
        <x:f>'Form Responses 1'!D221</x:f>
        <x:v>0</x:v>
      </x:c>
      <x:c r="E221" s="18" t="n">
        <x:f>'Form Responses 1'!E221</x:f>
        <x:v>0</x:v>
      </x:c>
      <x:c r="F221" s="18" t="n">
        <x:f>'Form Responses 1'!F221</x:f>
        <x:v>0</x:v>
      </x:c>
      <x:c r="G221" s="18" t="n">
        <x:f>'Form Responses 1'!G221</x:f>
        <x:v>0</x:v>
      </x:c>
      <x:c r="H221" s="18" t="str">
        <x:f>IF($C221="","",IFERROR(VLOOKUP($C221,Matches!$A$2:$Q$200,5,FALSE),"Unknown"))</x:f>
      </x:c>
      <x:c r="I221" s="60" t="str">
        <x:f>IF($C221="","",IFERROR(VLOOKUP($C221,Matches!$A$2:$Q$200,16,FALSE),""))</x:f>
      </x:c>
      <x:c r="J221" s="18" t="str">
        <x:f>IF($C221="","",IFERROR(VLOOKUP($C221,Matches!$A$2:$Q$200,11,FALSE),""))</x:f>
      </x:c>
      <x:c r="K221" s="18" t="str">
        <x:f>IF($C221="","",IFERROR(VLOOKUP($C221,Matches!$A$2:$Q$200,12,FALSE),""))</x:f>
      </x:c>
      <x:c r="L221" s="18" t="str">
        <x:f>IF($A221="","",IF($C221=1,"Yes",IF(OR($I221="",$A221&lt;$I221),"Yes","Late")))</x:f>
      </x:c>
      <x:c r="M221" s="66" t="str">
        <x:f>IF($A221="","",IF($L221&lt;&gt;"Yes",0,IF($E221="",0,IF($J221="",0,IF($H221="Group",IF($E221=$J221,Setup!$H$2,Setup!$H$3),IF($E221=$K221,Setup!$H$2,Setup!$H$3))))))</x:f>
      </x:c>
      <x:c r="N221" s="66" t="str">
        <x:f>IF($A221="","",IF($L221&lt;&gt;"Yes",0,IF(OR($F221="",$G221=""),0,IF(AND($F221=VLOOKUP($C221,Matches!$A$2:$Q$200,9,FALSE),$G221=VLOOKUP($C221,Matches!$A$2:$Q$200,10,FALSE)),Setup!$H$5,0))))</x:f>
      </x:c>
      <x:c r="O221" s="66" t="str">
        <x:f>IF($A221="","",$M221+$N221)</x:f>
      </x:c>
      <x:c r="P221" s="18" t="str">
        <x:f>IF($A221="","",IF($L221="Late","Late - 0 points",IF($J221="","Waiting for result",IF($O221&gt;0,"Scored",IF($O221&lt;0,"Wrong pick","No points")))))</x:f>
      </x:c>
    </x:row>
    <x:row r="222">
      <x:c r="A222" s="60" t="n">
        <x:f>'Form Responses 1'!A222</x:f>
        <x:v>0</x:v>
      </x:c>
      <x:c r="B222" s="18" t="n">
        <x:f>'Form Responses 1'!B222</x:f>
        <x:v>0</x:v>
      </x:c>
      <x:c r="C222" s="18" t="n">
        <x:f>'Form Responses 1'!C222</x:f>
        <x:v>0</x:v>
      </x:c>
      <x:c r="D222" s="18" t="n">
        <x:f>'Form Responses 1'!D222</x:f>
        <x:v>0</x:v>
      </x:c>
      <x:c r="E222" s="18" t="n">
        <x:f>'Form Responses 1'!E222</x:f>
        <x:v>0</x:v>
      </x:c>
      <x:c r="F222" s="18" t="n">
        <x:f>'Form Responses 1'!F222</x:f>
        <x:v>0</x:v>
      </x:c>
      <x:c r="G222" s="18" t="n">
        <x:f>'Form Responses 1'!G222</x:f>
        <x:v>0</x:v>
      </x:c>
      <x:c r="H222" s="18" t="str">
        <x:f>IF($C222="","",IFERROR(VLOOKUP($C222,Matches!$A$2:$Q$200,5,FALSE),"Unknown"))</x:f>
      </x:c>
      <x:c r="I222" s="60" t="str">
        <x:f>IF($C222="","",IFERROR(VLOOKUP($C222,Matches!$A$2:$Q$200,16,FALSE),""))</x:f>
      </x:c>
      <x:c r="J222" s="18" t="str">
        <x:f>IF($C222="","",IFERROR(VLOOKUP($C222,Matches!$A$2:$Q$200,11,FALSE),""))</x:f>
      </x:c>
      <x:c r="K222" s="18" t="str">
        <x:f>IF($C222="","",IFERROR(VLOOKUP($C222,Matches!$A$2:$Q$200,12,FALSE),""))</x:f>
      </x:c>
      <x:c r="L222" s="18" t="str">
        <x:f>IF($A222="","",IF($C222=1,"Yes",IF(OR($I222="",$A222&lt;$I222),"Yes","Late")))</x:f>
      </x:c>
      <x:c r="M222" s="66" t="str">
        <x:f>IF($A222="","",IF($L222&lt;&gt;"Yes",0,IF($E222="",0,IF($J222="",0,IF($H222="Group",IF($E222=$J222,Setup!$H$2,Setup!$H$3),IF($E222=$K222,Setup!$H$2,Setup!$H$3))))))</x:f>
      </x:c>
      <x:c r="N222" s="66" t="str">
        <x:f>IF($A222="","",IF($L222&lt;&gt;"Yes",0,IF(OR($F222="",$G222=""),0,IF(AND($F222=VLOOKUP($C222,Matches!$A$2:$Q$200,9,FALSE),$G222=VLOOKUP($C222,Matches!$A$2:$Q$200,10,FALSE)),Setup!$H$5,0))))</x:f>
      </x:c>
      <x:c r="O222" s="66" t="str">
        <x:f>IF($A222="","",$M222+$N222)</x:f>
      </x:c>
      <x:c r="P222" s="18" t="str">
        <x:f>IF($A222="","",IF($L222="Late","Late - 0 points",IF($J222="","Waiting for result",IF($O222&gt;0,"Scored",IF($O222&lt;0,"Wrong pick","No points")))))</x:f>
      </x:c>
    </x:row>
    <x:row r="223">
      <x:c r="A223" s="60" t="n">
        <x:f>'Form Responses 1'!A223</x:f>
        <x:v>0</x:v>
      </x:c>
      <x:c r="B223" s="18" t="n">
        <x:f>'Form Responses 1'!B223</x:f>
        <x:v>0</x:v>
      </x:c>
      <x:c r="C223" s="18" t="n">
        <x:f>'Form Responses 1'!C223</x:f>
        <x:v>0</x:v>
      </x:c>
      <x:c r="D223" s="18" t="n">
        <x:f>'Form Responses 1'!D223</x:f>
        <x:v>0</x:v>
      </x:c>
      <x:c r="E223" s="18" t="n">
        <x:f>'Form Responses 1'!E223</x:f>
        <x:v>0</x:v>
      </x:c>
      <x:c r="F223" s="18" t="n">
        <x:f>'Form Responses 1'!F223</x:f>
        <x:v>0</x:v>
      </x:c>
      <x:c r="G223" s="18" t="n">
        <x:f>'Form Responses 1'!G223</x:f>
        <x:v>0</x:v>
      </x:c>
      <x:c r="H223" s="18" t="str">
        <x:f>IF($C223="","",IFERROR(VLOOKUP($C223,Matches!$A$2:$Q$200,5,FALSE),"Unknown"))</x:f>
      </x:c>
      <x:c r="I223" s="60" t="str">
        <x:f>IF($C223="","",IFERROR(VLOOKUP($C223,Matches!$A$2:$Q$200,16,FALSE),""))</x:f>
      </x:c>
      <x:c r="J223" s="18" t="str">
        <x:f>IF($C223="","",IFERROR(VLOOKUP($C223,Matches!$A$2:$Q$200,11,FALSE),""))</x:f>
      </x:c>
      <x:c r="K223" s="18" t="str">
        <x:f>IF($C223="","",IFERROR(VLOOKUP($C223,Matches!$A$2:$Q$200,12,FALSE),""))</x:f>
      </x:c>
      <x:c r="L223" s="18" t="str">
        <x:f>IF($A223="","",IF($C223=1,"Yes",IF(OR($I223="",$A223&lt;$I223),"Yes","Late")))</x:f>
      </x:c>
      <x:c r="M223" s="66" t="str">
        <x:f>IF($A223="","",IF($L223&lt;&gt;"Yes",0,IF($E223="",0,IF($J223="",0,IF($H223="Group",IF($E223=$J223,Setup!$H$2,Setup!$H$3),IF($E223=$K223,Setup!$H$2,Setup!$H$3))))))</x:f>
      </x:c>
      <x:c r="N223" s="66" t="str">
        <x:f>IF($A223="","",IF($L223&lt;&gt;"Yes",0,IF(OR($F223="",$G223=""),0,IF(AND($F223=VLOOKUP($C223,Matches!$A$2:$Q$200,9,FALSE),$G223=VLOOKUP($C223,Matches!$A$2:$Q$200,10,FALSE)),Setup!$H$5,0))))</x:f>
      </x:c>
      <x:c r="O223" s="66" t="str">
        <x:f>IF($A223="","",$M223+$N223)</x:f>
      </x:c>
      <x:c r="P223" s="18" t="str">
        <x:f>IF($A223="","",IF($L223="Late","Late - 0 points",IF($J223="","Waiting for result",IF($O223&gt;0,"Scored",IF($O223&lt;0,"Wrong pick","No points")))))</x:f>
      </x:c>
    </x:row>
    <x:row r="224">
      <x:c r="A224" s="60" t="n">
        <x:f>'Form Responses 1'!A224</x:f>
        <x:v>0</x:v>
      </x:c>
      <x:c r="B224" s="18" t="n">
        <x:f>'Form Responses 1'!B224</x:f>
        <x:v>0</x:v>
      </x:c>
      <x:c r="C224" s="18" t="n">
        <x:f>'Form Responses 1'!C224</x:f>
        <x:v>0</x:v>
      </x:c>
      <x:c r="D224" s="18" t="n">
        <x:f>'Form Responses 1'!D224</x:f>
        <x:v>0</x:v>
      </x:c>
      <x:c r="E224" s="18" t="n">
        <x:f>'Form Responses 1'!E224</x:f>
        <x:v>0</x:v>
      </x:c>
      <x:c r="F224" s="18" t="n">
        <x:f>'Form Responses 1'!F224</x:f>
        <x:v>0</x:v>
      </x:c>
      <x:c r="G224" s="18" t="n">
        <x:f>'Form Responses 1'!G224</x:f>
        <x:v>0</x:v>
      </x:c>
      <x:c r="H224" s="18" t="str">
        <x:f>IF($C224="","",IFERROR(VLOOKUP($C224,Matches!$A$2:$Q$200,5,FALSE),"Unknown"))</x:f>
      </x:c>
      <x:c r="I224" s="60" t="str">
        <x:f>IF($C224="","",IFERROR(VLOOKUP($C224,Matches!$A$2:$Q$200,16,FALSE),""))</x:f>
      </x:c>
      <x:c r="J224" s="18" t="str">
        <x:f>IF($C224="","",IFERROR(VLOOKUP($C224,Matches!$A$2:$Q$200,11,FALSE),""))</x:f>
      </x:c>
      <x:c r="K224" s="18" t="str">
        <x:f>IF($C224="","",IFERROR(VLOOKUP($C224,Matches!$A$2:$Q$200,12,FALSE),""))</x:f>
      </x:c>
      <x:c r="L224" s="18" t="str">
        <x:f>IF($A224="","",IF($C224=1,"Yes",IF(OR($I224="",$A224&lt;$I224),"Yes","Late")))</x:f>
      </x:c>
      <x:c r="M224" s="66" t="str">
        <x:f>IF($A224="","",IF($L224&lt;&gt;"Yes",0,IF($E224="",0,IF($J224="",0,IF($H224="Group",IF($E224=$J224,Setup!$H$2,Setup!$H$3),IF($E224=$K224,Setup!$H$2,Setup!$H$3))))))</x:f>
      </x:c>
      <x:c r="N224" s="66" t="str">
        <x:f>IF($A224="","",IF($L224&lt;&gt;"Yes",0,IF(OR($F224="",$G224=""),0,IF(AND($F224=VLOOKUP($C224,Matches!$A$2:$Q$200,9,FALSE),$G224=VLOOKUP($C224,Matches!$A$2:$Q$200,10,FALSE)),Setup!$H$5,0))))</x:f>
      </x:c>
      <x:c r="O224" s="66" t="str">
        <x:f>IF($A224="","",$M224+$N224)</x:f>
      </x:c>
      <x:c r="P224" s="18" t="str">
        <x:f>IF($A224="","",IF($L224="Late","Late - 0 points",IF($J224="","Waiting for result",IF($O224&gt;0,"Scored",IF($O224&lt;0,"Wrong pick","No points")))))</x:f>
      </x:c>
    </x:row>
    <x:row r="225">
      <x:c r="A225" s="60" t="n">
        <x:f>'Form Responses 1'!A225</x:f>
        <x:v>0</x:v>
      </x:c>
      <x:c r="B225" s="18" t="n">
        <x:f>'Form Responses 1'!B225</x:f>
        <x:v>0</x:v>
      </x:c>
      <x:c r="C225" s="18" t="n">
        <x:f>'Form Responses 1'!C225</x:f>
        <x:v>0</x:v>
      </x:c>
      <x:c r="D225" s="18" t="n">
        <x:f>'Form Responses 1'!D225</x:f>
        <x:v>0</x:v>
      </x:c>
      <x:c r="E225" s="18" t="n">
        <x:f>'Form Responses 1'!E225</x:f>
        <x:v>0</x:v>
      </x:c>
      <x:c r="F225" s="18" t="n">
        <x:f>'Form Responses 1'!F225</x:f>
        <x:v>0</x:v>
      </x:c>
      <x:c r="G225" s="18" t="n">
        <x:f>'Form Responses 1'!G225</x:f>
        <x:v>0</x:v>
      </x:c>
      <x:c r="H225" s="18" t="str">
        <x:f>IF($C225="","",IFERROR(VLOOKUP($C225,Matches!$A$2:$Q$200,5,FALSE),"Unknown"))</x:f>
      </x:c>
      <x:c r="I225" s="60" t="str">
        <x:f>IF($C225="","",IFERROR(VLOOKUP($C225,Matches!$A$2:$Q$200,16,FALSE),""))</x:f>
      </x:c>
      <x:c r="J225" s="18" t="str">
        <x:f>IF($C225="","",IFERROR(VLOOKUP($C225,Matches!$A$2:$Q$200,11,FALSE),""))</x:f>
      </x:c>
      <x:c r="K225" s="18" t="str">
        <x:f>IF($C225="","",IFERROR(VLOOKUP($C225,Matches!$A$2:$Q$200,12,FALSE),""))</x:f>
      </x:c>
      <x:c r="L225" s="18" t="str">
        <x:f>IF($A225="","",IF($C225=1,"Yes",IF(OR($I225="",$A225&lt;$I225),"Yes","Late")))</x:f>
      </x:c>
      <x:c r="M225" s="66" t="str">
        <x:f>IF($A225="","",IF($L225&lt;&gt;"Yes",0,IF($E225="",0,IF($J225="",0,IF($H225="Group",IF($E225=$J225,Setup!$H$2,Setup!$H$3),IF($E225=$K225,Setup!$H$2,Setup!$H$3))))))</x:f>
      </x:c>
      <x:c r="N225" s="66" t="str">
        <x:f>IF($A225="","",IF($L225&lt;&gt;"Yes",0,IF(OR($F225="",$G225=""),0,IF(AND($F225=VLOOKUP($C225,Matches!$A$2:$Q$200,9,FALSE),$G225=VLOOKUP($C225,Matches!$A$2:$Q$200,10,FALSE)),Setup!$H$5,0))))</x:f>
      </x:c>
      <x:c r="O225" s="66" t="str">
        <x:f>IF($A225="","",$M225+$N225)</x:f>
      </x:c>
      <x:c r="P225" s="18" t="str">
        <x:f>IF($A225="","",IF($L225="Late","Late - 0 points",IF($J225="","Waiting for result",IF($O225&gt;0,"Scored",IF($O225&lt;0,"Wrong pick","No points")))))</x:f>
      </x:c>
    </x:row>
    <x:row r="226">
      <x:c r="A226" s="60" t="n">
        <x:f>'Form Responses 1'!A226</x:f>
        <x:v>0</x:v>
      </x:c>
      <x:c r="B226" s="18" t="n">
        <x:f>'Form Responses 1'!B226</x:f>
        <x:v>0</x:v>
      </x:c>
      <x:c r="C226" s="18" t="n">
        <x:f>'Form Responses 1'!C226</x:f>
        <x:v>0</x:v>
      </x:c>
      <x:c r="D226" s="18" t="n">
        <x:f>'Form Responses 1'!D226</x:f>
        <x:v>0</x:v>
      </x:c>
      <x:c r="E226" s="18" t="n">
        <x:f>'Form Responses 1'!E226</x:f>
        <x:v>0</x:v>
      </x:c>
      <x:c r="F226" s="18" t="n">
        <x:f>'Form Responses 1'!F226</x:f>
        <x:v>0</x:v>
      </x:c>
      <x:c r="G226" s="18" t="n">
        <x:f>'Form Responses 1'!G226</x:f>
        <x:v>0</x:v>
      </x:c>
      <x:c r="H226" s="18" t="str">
        <x:f>IF($C226="","",IFERROR(VLOOKUP($C226,Matches!$A$2:$Q$200,5,FALSE),"Unknown"))</x:f>
      </x:c>
      <x:c r="I226" s="60" t="str">
        <x:f>IF($C226="","",IFERROR(VLOOKUP($C226,Matches!$A$2:$Q$200,16,FALSE),""))</x:f>
      </x:c>
      <x:c r="J226" s="18" t="str">
        <x:f>IF($C226="","",IFERROR(VLOOKUP($C226,Matches!$A$2:$Q$200,11,FALSE),""))</x:f>
      </x:c>
      <x:c r="K226" s="18" t="str">
        <x:f>IF($C226="","",IFERROR(VLOOKUP($C226,Matches!$A$2:$Q$200,12,FALSE),""))</x:f>
      </x:c>
      <x:c r="L226" s="18" t="str">
        <x:f>IF($A226="","",IF($C226=1,"Yes",IF(OR($I226="",$A226&lt;$I226),"Yes","Late")))</x:f>
      </x:c>
      <x:c r="M226" s="66" t="str">
        <x:f>IF($A226="","",IF($L226&lt;&gt;"Yes",0,IF($E226="",0,IF($J226="",0,IF($H226="Group",IF($E226=$J226,Setup!$H$2,Setup!$H$3),IF($E226=$K226,Setup!$H$2,Setup!$H$3))))))</x:f>
      </x:c>
      <x:c r="N226" s="66" t="str">
        <x:f>IF($A226="","",IF($L226&lt;&gt;"Yes",0,IF(OR($F226="",$G226=""),0,IF(AND($F226=VLOOKUP($C226,Matches!$A$2:$Q$200,9,FALSE),$G226=VLOOKUP($C226,Matches!$A$2:$Q$200,10,FALSE)),Setup!$H$5,0))))</x:f>
      </x:c>
      <x:c r="O226" s="66" t="str">
        <x:f>IF($A226="","",$M226+$N226)</x:f>
      </x:c>
      <x:c r="P226" s="18" t="str">
        <x:f>IF($A226="","",IF($L226="Late","Late - 0 points",IF($J226="","Waiting for result",IF($O226&gt;0,"Scored",IF($O226&lt;0,"Wrong pick","No points")))))</x:f>
      </x:c>
    </x:row>
    <x:row r="227">
      <x:c r="A227" s="60" t="n">
        <x:f>'Form Responses 1'!A227</x:f>
        <x:v>0</x:v>
      </x:c>
      <x:c r="B227" s="18" t="n">
        <x:f>'Form Responses 1'!B227</x:f>
        <x:v>0</x:v>
      </x:c>
      <x:c r="C227" s="18" t="n">
        <x:f>'Form Responses 1'!C227</x:f>
        <x:v>0</x:v>
      </x:c>
      <x:c r="D227" s="18" t="n">
        <x:f>'Form Responses 1'!D227</x:f>
        <x:v>0</x:v>
      </x:c>
      <x:c r="E227" s="18" t="n">
        <x:f>'Form Responses 1'!E227</x:f>
        <x:v>0</x:v>
      </x:c>
      <x:c r="F227" s="18" t="n">
        <x:f>'Form Responses 1'!F227</x:f>
        <x:v>0</x:v>
      </x:c>
      <x:c r="G227" s="18" t="n">
        <x:f>'Form Responses 1'!G227</x:f>
        <x:v>0</x:v>
      </x:c>
      <x:c r="H227" s="18" t="str">
        <x:f>IF($C227="","",IFERROR(VLOOKUP($C227,Matches!$A$2:$Q$200,5,FALSE),"Unknown"))</x:f>
      </x:c>
      <x:c r="I227" s="60" t="str">
        <x:f>IF($C227="","",IFERROR(VLOOKUP($C227,Matches!$A$2:$Q$200,16,FALSE),""))</x:f>
      </x:c>
      <x:c r="J227" s="18" t="str">
        <x:f>IF($C227="","",IFERROR(VLOOKUP($C227,Matches!$A$2:$Q$200,11,FALSE),""))</x:f>
      </x:c>
      <x:c r="K227" s="18" t="str">
        <x:f>IF($C227="","",IFERROR(VLOOKUP($C227,Matches!$A$2:$Q$200,12,FALSE),""))</x:f>
      </x:c>
      <x:c r="L227" s="18" t="str">
        <x:f>IF($A227="","",IF($C227=1,"Yes",IF(OR($I227="",$A227&lt;$I227),"Yes","Late")))</x:f>
      </x:c>
      <x:c r="M227" s="66" t="str">
        <x:f>IF($A227="","",IF($L227&lt;&gt;"Yes",0,IF($E227="",0,IF($J227="",0,IF($H227="Group",IF($E227=$J227,Setup!$H$2,Setup!$H$3),IF($E227=$K227,Setup!$H$2,Setup!$H$3))))))</x:f>
      </x:c>
      <x:c r="N227" s="66" t="str">
        <x:f>IF($A227="","",IF($L227&lt;&gt;"Yes",0,IF(OR($F227="",$G227=""),0,IF(AND($F227=VLOOKUP($C227,Matches!$A$2:$Q$200,9,FALSE),$G227=VLOOKUP($C227,Matches!$A$2:$Q$200,10,FALSE)),Setup!$H$5,0))))</x:f>
      </x:c>
      <x:c r="O227" s="66" t="str">
        <x:f>IF($A227="","",$M227+$N227)</x:f>
      </x:c>
      <x:c r="P227" s="18" t="str">
        <x:f>IF($A227="","",IF($L227="Late","Late - 0 points",IF($J227="","Waiting for result",IF($O227&gt;0,"Scored",IF($O227&lt;0,"Wrong pick","No points")))))</x:f>
      </x:c>
    </x:row>
    <x:row r="228">
      <x:c r="A228" s="60" t="n">
        <x:f>'Form Responses 1'!A228</x:f>
        <x:v>0</x:v>
      </x:c>
      <x:c r="B228" s="18" t="n">
        <x:f>'Form Responses 1'!B228</x:f>
        <x:v>0</x:v>
      </x:c>
      <x:c r="C228" s="18" t="n">
        <x:f>'Form Responses 1'!C228</x:f>
        <x:v>0</x:v>
      </x:c>
      <x:c r="D228" s="18" t="n">
        <x:f>'Form Responses 1'!D228</x:f>
        <x:v>0</x:v>
      </x:c>
      <x:c r="E228" s="18" t="n">
        <x:f>'Form Responses 1'!E228</x:f>
        <x:v>0</x:v>
      </x:c>
      <x:c r="F228" s="18" t="n">
        <x:f>'Form Responses 1'!F228</x:f>
        <x:v>0</x:v>
      </x:c>
      <x:c r="G228" s="18" t="n">
        <x:f>'Form Responses 1'!G228</x:f>
        <x:v>0</x:v>
      </x:c>
      <x:c r="H228" s="18" t="str">
        <x:f>IF($C228="","",IFERROR(VLOOKUP($C228,Matches!$A$2:$Q$200,5,FALSE),"Unknown"))</x:f>
      </x:c>
      <x:c r="I228" s="60" t="str">
        <x:f>IF($C228="","",IFERROR(VLOOKUP($C228,Matches!$A$2:$Q$200,16,FALSE),""))</x:f>
      </x:c>
      <x:c r="J228" s="18" t="str">
        <x:f>IF($C228="","",IFERROR(VLOOKUP($C228,Matches!$A$2:$Q$200,11,FALSE),""))</x:f>
      </x:c>
      <x:c r="K228" s="18" t="str">
        <x:f>IF($C228="","",IFERROR(VLOOKUP($C228,Matches!$A$2:$Q$200,12,FALSE),""))</x:f>
      </x:c>
      <x:c r="L228" s="18" t="str">
        <x:f>IF($A228="","",IF($C228=1,"Yes",IF(OR($I228="",$A228&lt;$I228),"Yes","Late")))</x:f>
      </x:c>
      <x:c r="M228" s="66" t="str">
        <x:f>IF($A228="","",IF($L228&lt;&gt;"Yes",0,IF($E228="",0,IF($J228="",0,IF($H228="Group",IF($E228=$J228,Setup!$H$2,Setup!$H$3),IF($E228=$K228,Setup!$H$2,Setup!$H$3))))))</x:f>
      </x:c>
      <x:c r="N228" s="66" t="str">
        <x:f>IF($A228="","",IF($L228&lt;&gt;"Yes",0,IF(OR($F228="",$G228=""),0,IF(AND($F228=VLOOKUP($C228,Matches!$A$2:$Q$200,9,FALSE),$G228=VLOOKUP($C228,Matches!$A$2:$Q$200,10,FALSE)),Setup!$H$5,0))))</x:f>
      </x:c>
      <x:c r="O228" s="66" t="str">
        <x:f>IF($A228="","",$M228+$N228)</x:f>
      </x:c>
      <x:c r="P228" s="18" t="str">
        <x:f>IF($A228="","",IF($L228="Late","Late - 0 points",IF($J228="","Waiting for result",IF($O228&gt;0,"Scored",IF($O228&lt;0,"Wrong pick","No points")))))</x:f>
      </x:c>
    </x:row>
    <x:row r="229">
      <x:c r="A229" s="60" t="n">
        <x:f>'Form Responses 1'!A229</x:f>
        <x:v>0</x:v>
      </x:c>
      <x:c r="B229" s="18" t="n">
        <x:f>'Form Responses 1'!B229</x:f>
        <x:v>0</x:v>
      </x:c>
      <x:c r="C229" s="18" t="n">
        <x:f>'Form Responses 1'!C229</x:f>
        <x:v>0</x:v>
      </x:c>
      <x:c r="D229" s="18" t="n">
        <x:f>'Form Responses 1'!D229</x:f>
        <x:v>0</x:v>
      </x:c>
      <x:c r="E229" s="18" t="n">
        <x:f>'Form Responses 1'!E229</x:f>
        <x:v>0</x:v>
      </x:c>
      <x:c r="F229" s="18" t="n">
        <x:f>'Form Responses 1'!F229</x:f>
        <x:v>0</x:v>
      </x:c>
      <x:c r="G229" s="18" t="n">
        <x:f>'Form Responses 1'!G229</x:f>
        <x:v>0</x:v>
      </x:c>
      <x:c r="H229" s="18" t="str">
        <x:f>IF($C229="","",IFERROR(VLOOKUP($C229,Matches!$A$2:$Q$200,5,FALSE),"Unknown"))</x:f>
      </x:c>
      <x:c r="I229" s="60" t="str">
        <x:f>IF($C229="","",IFERROR(VLOOKUP($C229,Matches!$A$2:$Q$200,16,FALSE),""))</x:f>
      </x:c>
      <x:c r="J229" s="18" t="str">
        <x:f>IF($C229="","",IFERROR(VLOOKUP($C229,Matches!$A$2:$Q$200,11,FALSE),""))</x:f>
      </x:c>
      <x:c r="K229" s="18" t="str">
        <x:f>IF($C229="","",IFERROR(VLOOKUP($C229,Matches!$A$2:$Q$200,12,FALSE),""))</x:f>
      </x:c>
      <x:c r="L229" s="18" t="str">
        <x:f>IF($A229="","",IF($C229=1,"Yes",IF(OR($I229="",$A229&lt;$I229),"Yes","Late")))</x:f>
      </x:c>
      <x:c r="M229" s="66" t="str">
        <x:f>IF($A229="","",IF($L229&lt;&gt;"Yes",0,IF($E229="",0,IF($J229="",0,IF($H229="Group",IF($E229=$J229,Setup!$H$2,Setup!$H$3),IF($E229=$K229,Setup!$H$2,Setup!$H$3))))))</x:f>
      </x:c>
      <x:c r="N229" s="66" t="str">
        <x:f>IF($A229="","",IF($L229&lt;&gt;"Yes",0,IF(OR($F229="",$G229=""),0,IF(AND($F229=VLOOKUP($C229,Matches!$A$2:$Q$200,9,FALSE),$G229=VLOOKUP($C229,Matches!$A$2:$Q$200,10,FALSE)),Setup!$H$5,0))))</x:f>
      </x:c>
      <x:c r="O229" s="66" t="str">
        <x:f>IF($A229="","",$M229+$N229)</x:f>
      </x:c>
      <x:c r="P229" s="18" t="str">
        <x:f>IF($A229="","",IF($L229="Late","Late - 0 points",IF($J229="","Waiting for result",IF($O229&gt;0,"Scored",IF($O229&lt;0,"Wrong pick","No points")))))</x:f>
      </x:c>
    </x:row>
    <x:row r="230">
      <x:c r="A230" s="60" t="n">
        <x:f>'Form Responses 1'!A230</x:f>
        <x:v>0</x:v>
      </x:c>
      <x:c r="B230" s="18" t="n">
        <x:f>'Form Responses 1'!B230</x:f>
        <x:v>0</x:v>
      </x:c>
      <x:c r="C230" s="18" t="n">
        <x:f>'Form Responses 1'!C230</x:f>
        <x:v>0</x:v>
      </x:c>
      <x:c r="D230" s="18" t="n">
        <x:f>'Form Responses 1'!D230</x:f>
        <x:v>0</x:v>
      </x:c>
      <x:c r="E230" s="18" t="n">
        <x:f>'Form Responses 1'!E230</x:f>
        <x:v>0</x:v>
      </x:c>
      <x:c r="F230" s="18" t="n">
        <x:f>'Form Responses 1'!F230</x:f>
        <x:v>0</x:v>
      </x:c>
      <x:c r="G230" s="18" t="n">
        <x:f>'Form Responses 1'!G230</x:f>
        <x:v>0</x:v>
      </x:c>
      <x:c r="H230" s="18" t="str">
        <x:f>IF($C230="","",IFERROR(VLOOKUP($C230,Matches!$A$2:$Q$200,5,FALSE),"Unknown"))</x:f>
      </x:c>
      <x:c r="I230" s="60" t="str">
        <x:f>IF($C230="","",IFERROR(VLOOKUP($C230,Matches!$A$2:$Q$200,16,FALSE),""))</x:f>
      </x:c>
      <x:c r="J230" s="18" t="str">
        <x:f>IF($C230="","",IFERROR(VLOOKUP($C230,Matches!$A$2:$Q$200,11,FALSE),""))</x:f>
      </x:c>
      <x:c r="K230" s="18" t="str">
        <x:f>IF($C230="","",IFERROR(VLOOKUP($C230,Matches!$A$2:$Q$200,12,FALSE),""))</x:f>
      </x:c>
      <x:c r="L230" s="18" t="str">
        <x:f>IF($A230="","",IF($C230=1,"Yes",IF(OR($I230="",$A230&lt;$I230),"Yes","Late")))</x:f>
      </x:c>
      <x:c r="M230" s="66" t="str">
        <x:f>IF($A230="","",IF($L230&lt;&gt;"Yes",0,IF($E230="",0,IF($J230="",0,IF($H230="Group",IF($E230=$J230,Setup!$H$2,Setup!$H$3),IF($E230=$K230,Setup!$H$2,Setup!$H$3))))))</x:f>
      </x:c>
      <x:c r="N230" s="66" t="str">
        <x:f>IF($A230="","",IF($L230&lt;&gt;"Yes",0,IF(OR($F230="",$G230=""),0,IF(AND($F230=VLOOKUP($C230,Matches!$A$2:$Q$200,9,FALSE),$G230=VLOOKUP($C230,Matches!$A$2:$Q$200,10,FALSE)),Setup!$H$5,0))))</x:f>
      </x:c>
      <x:c r="O230" s="66" t="str">
        <x:f>IF($A230="","",$M230+$N230)</x:f>
      </x:c>
      <x:c r="P230" s="18" t="str">
        <x:f>IF($A230="","",IF($L230="Late","Late - 0 points",IF($J230="","Waiting for result",IF($O230&gt;0,"Scored",IF($O230&lt;0,"Wrong pick","No points")))))</x:f>
      </x:c>
    </x:row>
    <x:row r="231">
      <x:c r="A231" s="60" t="n">
        <x:f>'Form Responses 1'!A231</x:f>
        <x:v>0</x:v>
      </x:c>
      <x:c r="B231" s="18" t="n">
        <x:f>'Form Responses 1'!B231</x:f>
        <x:v>0</x:v>
      </x:c>
      <x:c r="C231" s="18" t="n">
        <x:f>'Form Responses 1'!C231</x:f>
        <x:v>0</x:v>
      </x:c>
      <x:c r="D231" s="18" t="n">
        <x:f>'Form Responses 1'!D231</x:f>
        <x:v>0</x:v>
      </x:c>
      <x:c r="E231" s="18" t="n">
        <x:f>'Form Responses 1'!E231</x:f>
        <x:v>0</x:v>
      </x:c>
      <x:c r="F231" s="18" t="n">
        <x:f>'Form Responses 1'!F231</x:f>
        <x:v>0</x:v>
      </x:c>
      <x:c r="G231" s="18" t="n">
        <x:f>'Form Responses 1'!G231</x:f>
        <x:v>0</x:v>
      </x:c>
      <x:c r="H231" s="18" t="str">
        <x:f>IF($C231="","",IFERROR(VLOOKUP($C231,Matches!$A$2:$Q$200,5,FALSE),"Unknown"))</x:f>
      </x:c>
      <x:c r="I231" s="60" t="str">
        <x:f>IF($C231="","",IFERROR(VLOOKUP($C231,Matches!$A$2:$Q$200,16,FALSE),""))</x:f>
      </x:c>
      <x:c r="J231" s="18" t="str">
        <x:f>IF($C231="","",IFERROR(VLOOKUP($C231,Matches!$A$2:$Q$200,11,FALSE),""))</x:f>
      </x:c>
      <x:c r="K231" s="18" t="str">
        <x:f>IF($C231="","",IFERROR(VLOOKUP($C231,Matches!$A$2:$Q$200,12,FALSE),""))</x:f>
      </x:c>
      <x:c r="L231" s="18" t="str">
        <x:f>IF($A231="","",IF($C231=1,"Yes",IF(OR($I231="",$A231&lt;$I231),"Yes","Late")))</x:f>
      </x:c>
      <x:c r="M231" s="66" t="str">
        <x:f>IF($A231="","",IF($L231&lt;&gt;"Yes",0,IF($E231="",0,IF($J231="",0,IF($H231="Group",IF($E231=$J231,Setup!$H$2,Setup!$H$3),IF($E231=$K231,Setup!$H$2,Setup!$H$3))))))</x:f>
      </x:c>
      <x:c r="N231" s="66" t="str">
        <x:f>IF($A231="","",IF($L231&lt;&gt;"Yes",0,IF(OR($F231="",$G231=""),0,IF(AND($F231=VLOOKUP($C231,Matches!$A$2:$Q$200,9,FALSE),$G231=VLOOKUP($C231,Matches!$A$2:$Q$200,10,FALSE)),Setup!$H$5,0))))</x:f>
      </x:c>
      <x:c r="O231" s="66" t="str">
        <x:f>IF($A231="","",$M231+$N231)</x:f>
      </x:c>
      <x:c r="P231" s="18" t="str">
        <x:f>IF($A231="","",IF($L231="Late","Late - 0 points",IF($J231="","Waiting for result",IF($O231&gt;0,"Scored",IF($O231&lt;0,"Wrong pick","No points")))))</x:f>
      </x:c>
    </x:row>
    <x:row r="232">
      <x:c r="A232" s="60" t="n">
        <x:f>'Form Responses 1'!A232</x:f>
        <x:v>0</x:v>
      </x:c>
      <x:c r="B232" s="18" t="n">
        <x:f>'Form Responses 1'!B232</x:f>
        <x:v>0</x:v>
      </x:c>
      <x:c r="C232" s="18" t="n">
        <x:f>'Form Responses 1'!C232</x:f>
        <x:v>0</x:v>
      </x:c>
      <x:c r="D232" s="18" t="n">
        <x:f>'Form Responses 1'!D232</x:f>
        <x:v>0</x:v>
      </x:c>
      <x:c r="E232" s="18" t="n">
        <x:f>'Form Responses 1'!E232</x:f>
        <x:v>0</x:v>
      </x:c>
      <x:c r="F232" s="18" t="n">
        <x:f>'Form Responses 1'!F232</x:f>
        <x:v>0</x:v>
      </x:c>
      <x:c r="G232" s="18" t="n">
        <x:f>'Form Responses 1'!G232</x:f>
        <x:v>0</x:v>
      </x:c>
      <x:c r="H232" s="18" t="str">
        <x:f>IF($C232="","",IFERROR(VLOOKUP($C232,Matches!$A$2:$Q$200,5,FALSE),"Unknown"))</x:f>
      </x:c>
      <x:c r="I232" s="60" t="str">
        <x:f>IF($C232="","",IFERROR(VLOOKUP($C232,Matches!$A$2:$Q$200,16,FALSE),""))</x:f>
      </x:c>
      <x:c r="J232" s="18" t="str">
        <x:f>IF($C232="","",IFERROR(VLOOKUP($C232,Matches!$A$2:$Q$200,11,FALSE),""))</x:f>
      </x:c>
      <x:c r="K232" s="18" t="str">
        <x:f>IF($C232="","",IFERROR(VLOOKUP($C232,Matches!$A$2:$Q$200,12,FALSE),""))</x:f>
      </x:c>
      <x:c r="L232" s="18" t="str">
        <x:f>IF($A232="","",IF($C232=1,"Yes",IF(OR($I232="",$A232&lt;$I232),"Yes","Late")))</x:f>
      </x:c>
      <x:c r="M232" s="66" t="str">
        <x:f>IF($A232="","",IF($L232&lt;&gt;"Yes",0,IF($E232="",0,IF($J232="",0,IF($H232="Group",IF($E232=$J232,Setup!$H$2,Setup!$H$3),IF($E232=$K232,Setup!$H$2,Setup!$H$3))))))</x:f>
      </x:c>
      <x:c r="N232" s="66" t="str">
        <x:f>IF($A232="","",IF($L232&lt;&gt;"Yes",0,IF(OR($F232="",$G232=""),0,IF(AND($F232=VLOOKUP($C232,Matches!$A$2:$Q$200,9,FALSE),$G232=VLOOKUP($C232,Matches!$A$2:$Q$200,10,FALSE)),Setup!$H$5,0))))</x:f>
      </x:c>
      <x:c r="O232" s="66" t="str">
        <x:f>IF($A232="","",$M232+$N232)</x:f>
      </x:c>
      <x:c r="P232" s="18" t="str">
        <x:f>IF($A232="","",IF($L232="Late","Late - 0 points",IF($J232="","Waiting for result",IF($O232&gt;0,"Scored",IF($O232&lt;0,"Wrong pick","No points")))))</x:f>
      </x:c>
    </x:row>
    <x:row r="233">
      <x:c r="A233" s="60" t="n">
        <x:f>'Form Responses 1'!A233</x:f>
        <x:v>0</x:v>
      </x:c>
      <x:c r="B233" s="18" t="n">
        <x:f>'Form Responses 1'!B233</x:f>
        <x:v>0</x:v>
      </x:c>
      <x:c r="C233" s="18" t="n">
        <x:f>'Form Responses 1'!C233</x:f>
        <x:v>0</x:v>
      </x:c>
      <x:c r="D233" s="18" t="n">
        <x:f>'Form Responses 1'!D233</x:f>
        <x:v>0</x:v>
      </x:c>
      <x:c r="E233" s="18" t="n">
        <x:f>'Form Responses 1'!E233</x:f>
        <x:v>0</x:v>
      </x:c>
      <x:c r="F233" s="18" t="n">
        <x:f>'Form Responses 1'!F233</x:f>
        <x:v>0</x:v>
      </x:c>
      <x:c r="G233" s="18" t="n">
        <x:f>'Form Responses 1'!G233</x:f>
        <x:v>0</x:v>
      </x:c>
      <x:c r="H233" s="18" t="str">
        <x:f>IF($C233="","",IFERROR(VLOOKUP($C233,Matches!$A$2:$Q$200,5,FALSE),"Unknown"))</x:f>
      </x:c>
      <x:c r="I233" s="60" t="str">
        <x:f>IF($C233="","",IFERROR(VLOOKUP($C233,Matches!$A$2:$Q$200,16,FALSE),""))</x:f>
      </x:c>
      <x:c r="J233" s="18" t="str">
        <x:f>IF($C233="","",IFERROR(VLOOKUP($C233,Matches!$A$2:$Q$200,11,FALSE),""))</x:f>
      </x:c>
      <x:c r="K233" s="18" t="str">
        <x:f>IF($C233="","",IFERROR(VLOOKUP($C233,Matches!$A$2:$Q$200,12,FALSE),""))</x:f>
      </x:c>
      <x:c r="L233" s="18" t="str">
        <x:f>IF($A233="","",IF($C233=1,"Yes",IF(OR($I233="",$A233&lt;$I233),"Yes","Late")))</x:f>
      </x:c>
      <x:c r="M233" s="66" t="str">
        <x:f>IF($A233="","",IF($L233&lt;&gt;"Yes",0,IF($E233="",0,IF($J233="",0,IF($H233="Group",IF($E233=$J233,Setup!$H$2,Setup!$H$3),IF($E233=$K233,Setup!$H$2,Setup!$H$3))))))</x:f>
      </x:c>
      <x:c r="N233" s="66" t="str">
        <x:f>IF($A233="","",IF($L233&lt;&gt;"Yes",0,IF(OR($F233="",$G233=""),0,IF(AND($F233=VLOOKUP($C233,Matches!$A$2:$Q$200,9,FALSE),$G233=VLOOKUP($C233,Matches!$A$2:$Q$200,10,FALSE)),Setup!$H$5,0))))</x:f>
      </x:c>
      <x:c r="O233" s="66" t="str">
        <x:f>IF($A233="","",$M233+$N233)</x:f>
      </x:c>
      <x:c r="P233" s="18" t="str">
        <x:f>IF($A233="","",IF($L233="Late","Late - 0 points",IF($J233="","Waiting for result",IF($O233&gt;0,"Scored",IF($O233&lt;0,"Wrong pick","No points")))))</x:f>
      </x:c>
    </x:row>
    <x:row r="234">
      <x:c r="A234" s="60" t="n">
        <x:f>'Form Responses 1'!A234</x:f>
        <x:v>0</x:v>
      </x:c>
      <x:c r="B234" s="18" t="n">
        <x:f>'Form Responses 1'!B234</x:f>
        <x:v>0</x:v>
      </x:c>
      <x:c r="C234" s="18" t="n">
        <x:f>'Form Responses 1'!C234</x:f>
        <x:v>0</x:v>
      </x:c>
      <x:c r="D234" s="18" t="n">
        <x:f>'Form Responses 1'!D234</x:f>
        <x:v>0</x:v>
      </x:c>
      <x:c r="E234" s="18" t="n">
        <x:f>'Form Responses 1'!E234</x:f>
        <x:v>0</x:v>
      </x:c>
      <x:c r="F234" s="18" t="n">
        <x:f>'Form Responses 1'!F234</x:f>
        <x:v>0</x:v>
      </x:c>
      <x:c r="G234" s="18" t="n">
        <x:f>'Form Responses 1'!G234</x:f>
        <x:v>0</x:v>
      </x:c>
      <x:c r="H234" s="18" t="str">
        <x:f>IF($C234="","",IFERROR(VLOOKUP($C234,Matches!$A$2:$Q$200,5,FALSE),"Unknown"))</x:f>
      </x:c>
      <x:c r="I234" s="60" t="str">
        <x:f>IF($C234="","",IFERROR(VLOOKUP($C234,Matches!$A$2:$Q$200,16,FALSE),""))</x:f>
      </x:c>
      <x:c r="J234" s="18" t="str">
        <x:f>IF($C234="","",IFERROR(VLOOKUP($C234,Matches!$A$2:$Q$200,11,FALSE),""))</x:f>
      </x:c>
      <x:c r="K234" s="18" t="str">
        <x:f>IF($C234="","",IFERROR(VLOOKUP($C234,Matches!$A$2:$Q$200,12,FALSE),""))</x:f>
      </x:c>
      <x:c r="L234" s="18" t="str">
        <x:f>IF($A234="","",IF($C234=1,"Yes",IF(OR($I234="",$A234&lt;$I234),"Yes","Late")))</x:f>
      </x:c>
      <x:c r="M234" s="66" t="str">
        <x:f>IF($A234="","",IF($L234&lt;&gt;"Yes",0,IF($E234="",0,IF($J234="",0,IF($H234="Group",IF($E234=$J234,Setup!$H$2,Setup!$H$3),IF($E234=$K234,Setup!$H$2,Setup!$H$3))))))</x:f>
      </x:c>
      <x:c r="N234" s="66" t="str">
        <x:f>IF($A234="","",IF($L234&lt;&gt;"Yes",0,IF(OR($F234="",$G234=""),0,IF(AND($F234=VLOOKUP($C234,Matches!$A$2:$Q$200,9,FALSE),$G234=VLOOKUP($C234,Matches!$A$2:$Q$200,10,FALSE)),Setup!$H$5,0))))</x:f>
      </x:c>
      <x:c r="O234" s="66" t="str">
        <x:f>IF($A234="","",$M234+$N234)</x:f>
      </x:c>
      <x:c r="P234" s="18" t="str">
        <x:f>IF($A234="","",IF($L234="Late","Late - 0 points",IF($J234="","Waiting for result",IF($O234&gt;0,"Scored",IF($O234&lt;0,"Wrong pick","No points")))))</x:f>
      </x:c>
    </x:row>
    <x:row r="235">
      <x:c r="A235" s="60" t="n">
        <x:f>'Form Responses 1'!A235</x:f>
        <x:v>0</x:v>
      </x:c>
      <x:c r="B235" s="18" t="n">
        <x:f>'Form Responses 1'!B235</x:f>
        <x:v>0</x:v>
      </x:c>
      <x:c r="C235" s="18" t="n">
        <x:f>'Form Responses 1'!C235</x:f>
        <x:v>0</x:v>
      </x:c>
      <x:c r="D235" s="18" t="n">
        <x:f>'Form Responses 1'!D235</x:f>
        <x:v>0</x:v>
      </x:c>
      <x:c r="E235" s="18" t="n">
        <x:f>'Form Responses 1'!E235</x:f>
        <x:v>0</x:v>
      </x:c>
      <x:c r="F235" s="18" t="n">
        <x:f>'Form Responses 1'!F235</x:f>
        <x:v>0</x:v>
      </x:c>
      <x:c r="G235" s="18" t="n">
        <x:f>'Form Responses 1'!G235</x:f>
        <x:v>0</x:v>
      </x:c>
      <x:c r="H235" s="18" t="str">
        <x:f>IF($C235="","",IFERROR(VLOOKUP($C235,Matches!$A$2:$Q$200,5,FALSE),"Unknown"))</x:f>
      </x:c>
      <x:c r="I235" s="60" t="str">
        <x:f>IF($C235="","",IFERROR(VLOOKUP($C235,Matches!$A$2:$Q$200,16,FALSE),""))</x:f>
      </x:c>
      <x:c r="J235" s="18" t="str">
        <x:f>IF($C235="","",IFERROR(VLOOKUP($C235,Matches!$A$2:$Q$200,11,FALSE),""))</x:f>
      </x:c>
      <x:c r="K235" s="18" t="str">
        <x:f>IF($C235="","",IFERROR(VLOOKUP($C235,Matches!$A$2:$Q$200,12,FALSE),""))</x:f>
      </x:c>
      <x:c r="L235" s="18" t="str">
        <x:f>IF($A235="","",IF($C235=1,"Yes",IF(OR($I235="",$A235&lt;$I235),"Yes","Late")))</x:f>
      </x:c>
      <x:c r="M235" s="66" t="str">
        <x:f>IF($A235="","",IF($L235&lt;&gt;"Yes",0,IF($E235="",0,IF($J235="",0,IF($H235="Group",IF($E235=$J235,Setup!$H$2,Setup!$H$3),IF($E235=$K235,Setup!$H$2,Setup!$H$3))))))</x:f>
      </x:c>
      <x:c r="N235" s="66" t="str">
        <x:f>IF($A235="","",IF($L235&lt;&gt;"Yes",0,IF(OR($F235="",$G235=""),0,IF(AND($F235=VLOOKUP($C235,Matches!$A$2:$Q$200,9,FALSE),$G235=VLOOKUP($C235,Matches!$A$2:$Q$200,10,FALSE)),Setup!$H$5,0))))</x:f>
      </x:c>
      <x:c r="O235" s="66" t="str">
        <x:f>IF($A235="","",$M235+$N235)</x:f>
      </x:c>
      <x:c r="P235" s="18" t="str">
        <x:f>IF($A235="","",IF($L235="Late","Late - 0 points",IF($J235="","Waiting for result",IF($O235&gt;0,"Scored",IF($O235&lt;0,"Wrong pick","No points")))))</x:f>
      </x:c>
    </x:row>
    <x:row r="236">
      <x:c r="A236" s="60" t="n">
        <x:f>'Form Responses 1'!A236</x:f>
        <x:v>0</x:v>
      </x:c>
      <x:c r="B236" s="18" t="n">
        <x:f>'Form Responses 1'!B236</x:f>
        <x:v>0</x:v>
      </x:c>
      <x:c r="C236" s="18" t="n">
        <x:f>'Form Responses 1'!C236</x:f>
        <x:v>0</x:v>
      </x:c>
      <x:c r="D236" s="18" t="n">
        <x:f>'Form Responses 1'!D236</x:f>
        <x:v>0</x:v>
      </x:c>
      <x:c r="E236" s="18" t="n">
        <x:f>'Form Responses 1'!E236</x:f>
        <x:v>0</x:v>
      </x:c>
      <x:c r="F236" s="18" t="n">
        <x:f>'Form Responses 1'!F236</x:f>
        <x:v>0</x:v>
      </x:c>
      <x:c r="G236" s="18" t="n">
        <x:f>'Form Responses 1'!G236</x:f>
        <x:v>0</x:v>
      </x:c>
      <x:c r="H236" s="18" t="str">
        <x:f>IF($C236="","",IFERROR(VLOOKUP($C236,Matches!$A$2:$Q$200,5,FALSE),"Unknown"))</x:f>
      </x:c>
      <x:c r="I236" s="60" t="str">
        <x:f>IF($C236="","",IFERROR(VLOOKUP($C236,Matches!$A$2:$Q$200,16,FALSE),""))</x:f>
      </x:c>
      <x:c r="J236" s="18" t="str">
        <x:f>IF($C236="","",IFERROR(VLOOKUP($C236,Matches!$A$2:$Q$200,11,FALSE),""))</x:f>
      </x:c>
      <x:c r="K236" s="18" t="str">
        <x:f>IF($C236="","",IFERROR(VLOOKUP($C236,Matches!$A$2:$Q$200,12,FALSE),""))</x:f>
      </x:c>
      <x:c r="L236" s="18" t="str">
        <x:f>IF($A236="","",IF($C236=1,"Yes",IF(OR($I236="",$A236&lt;$I236),"Yes","Late")))</x:f>
      </x:c>
      <x:c r="M236" s="66" t="str">
        <x:f>IF($A236="","",IF($L236&lt;&gt;"Yes",0,IF($E236="",0,IF($J236="",0,IF($H236="Group",IF($E236=$J236,Setup!$H$2,Setup!$H$3),IF($E236=$K236,Setup!$H$2,Setup!$H$3))))))</x:f>
      </x:c>
      <x:c r="N236" s="66" t="str">
        <x:f>IF($A236="","",IF($L236&lt;&gt;"Yes",0,IF(OR($F236="",$G236=""),0,IF(AND($F236=VLOOKUP($C236,Matches!$A$2:$Q$200,9,FALSE),$G236=VLOOKUP($C236,Matches!$A$2:$Q$200,10,FALSE)),Setup!$H$5,0))))</x:f>
      </x:c>
      <x:c r="O236" s="66" t="str">
        <x:f>IF($A236="","",$M236+$N236)</x:f>
      </x:c>
      <x:c r="P236" s="18" t="str">
        <x:f>IF($A236="","",IF($L236="Late","Late - 0 points",IF($J236="","Waiting for result",IF($O236&gt;0,"Scored",IF($O236&lt;0,"Wrong pick","No points")))))</x:f>
      </x:c>
    </x:row>
    <x:row r="237">
      <x:c r="A237" s="60" t="n">
        <x:f>'Form Responses 1'!A237</x:f>
        <x:v>0</x:v>
      </x:c>
      <x:c r="B237" s="18" t="n">
        <x:f>'Form Responses 1'!B237</x:f>
        <x:v>0</x:v>
      </x:c>
      <x:c r="C237" s="18" t="n">
        <x:f>'Form Responses 1'!C237</x:f>
        <x:v>0</x:v>
      </x:c>
      <x:c r="D237" s="18" t="n">
        <x:f>'Form Responses 1'!D237</x:f>
        <x:v>0</x:v>
      </x:c>
      <x:c r="E237" s="18" t="n">
        <x:f>'Form Responses 1'!E237</x:f>
        <x:v>0</x:v>
      </x:c>
      <x:c r="F237" s="18" t="n">
        <x:f>'Form Responses 1'!F237</x:f>
        <x:v>0</x:v>
      </x:c>
      <x:c r="G237" s="18" t="n">
        <x:f>'Form Responses 1'!G237</x:f>
        <x:v>0</x:v>
      </x:c>
      <x:c r="H237" s="18" t="str">
        <x:f>IF($C237="","",IFERROR(VLOOKUP($C237,Matches!$A$2:$Q$200,5,FALSE),"Unknown"))</x:f>
      </x:c>
      <x:c r="I237" s="60" t="str">
        <x:f>IF($C237="","",IFERROR(VLOOKUP($C237,Matches!$A$2:$Q$200,16,FALSE),""))</x:f>
      </x:c>
      <x:c r="J237" s="18" t="str">
        <x:f>IF($C237="","",IFERROR(VLOOKUP($C237,Matches!$A$2:$Q$200,11,FALSE),""))</x:f>
      </x:c>
      <x:c r="K237" s="18" t="str">
        <x:f>IF($C237="","",IFERROR(VLOOKUP($C237,Matches!$A$2:$Q$200,12,FALSE),""))</x:f>
      </x:c>
      <x:c r="L237" s="18" t="str">
        <x:f>IF($A237="","",IF($C237=1,"Yes",IF(OR($I237="",$A237&lt;$I237),"Yes","Late")))</x:f>
      </x:c>
      <x:c r="M237" s="66" t="str">
        <x:f>IF($A237="","",IF($L237&lt;&gt;"Yes",0,IF($E237="",0,IF($J237="",0,IF($H237="Group",IF($E237=$J237,Setup!$H$2,Setup!$H$3),IF($E237=$K237,Setup!$H$2,Setup!$H$3))))))</x:f>
      </x:c>
      <x:c r="N237" s="66" t="str">
        <x:f>IF($A237="","",IF($L237&lt;&gt;"Yes",0,IF(OR($F237="",$G237=""),0,IF(AND($F237=VLOOKUP($C237,Matches!$A$2:$Q$200,9,FALSE),$G237=VLOOKUP($C237,Matches!$A$2:$Q$200,10,FALSE)),Setup!$H$5,0))))</x:f>
      </x:c>
      <x:c r="O237" s="66" t="str">
        <x:f>IF($A237="","",$M237+$N237)</x:f>
      </x:c>
      <x:c r="P237" s="18" t="str">
        <x:f>IF($A237="","",IF($L237="Late","Late - 0 points",IF($J237="","Waiting for result",IF($O237&gt;0,"Scored",IF($O237&lt;0,"Wrong pick","No points")))))</x:f>
      </x:c>
    </x:row>
    <x:row r="238">
      <x:c r="A238" s="60" t="n">
        <x:f>'Form Responses 1'!A238</x:f>
        <x:v>0</x:v>
      </x:c>
      <x:c r="B238" s="18" t="n">
        <x:f>'Form Responses 1'!B238</x:f>
        <x:v>0</x:v>
      </x:c>
      <x:c r="C238" s="18" t="n">
        <x:f>'Form Responses 1'!C238</x:f>
        <x:v>0</x:v>
      </x:c>
      <x:c r="D238" s="18" t="n">
        <x:f>'Form Responses 1'!D238</x:f>
        <x:v>0</x:v>
      </x:c>
      <x:c r="E238" s="18" t="n">
        <x:f>'Form Responses 1'!E238</x:f>
        <x:v>0</x:v>
      </x:c>
      <x:c r="F238" s="18" t="n">
        <x:f>'Form Responses 1'!F238</x:f>
        <x:v>0</x:v>
      </x:c>
      <x:c r="G238" s="18" t="n">
        <x:f>'Form Responses 1'!G238</x:f>
        <x:v>0</x:v>
      </x:c>
      <x:c r="H238" s="18" t="str">
        <x:f>IF($C238="","",IFERROR(VLOOKUP($C238,Matches!$A$2:$Q$200,5,FALSE),"Unknown"))</x:f>
      </x:c>
      <x:c r="I238" s="60" t="str">
        <x:f>IF($C238="","",IFERROR(VLOOKUP($C238,Matches!$A$2:$Q$200,16,FALSE),""))</x:f>
      </x:c>
      <x:c r="J238" s="18" t="str">
        <x:f>IF($C238="","",IFERROR(VLOOKUP($C238,Matches!$A$2:$Q$200,11,FALSE),""))</x:f>
      </x:c>
      <x:c r="K238" s="18" t="str">
        <x:f>IF($C238="","",IFERROR(VLOOKUP($C238,Matches!$A$2:$Q$200,12,FALSE),""))</x:f>
      </x:c>
      <x:c r="L238" s="18" t="str">
        <x:f>IF($A238="","",IF($C238=1,"Yes",IF(OR($I238="",$A238&lt;$I238),"Yes","Late")))</x:f>
      </x:c>
      <x:c r="M238" s="66" t="str">
        <x:f>IF($A238="","",IF($L238&lt;&gt;"Yes",0,IF($E238="",0,IF($J238="",0,IF($H238="Group",IF($E238=$J238,Setup!$H$2,Setup!$H$3),IF($E238=$K238,Setup!$H$2,Setup!$H$3))))))</x:f>
      </x:c>
      <x:c r="N238" s="66" t="str">
        <x:f>IF($A238="","",IF($L238&lt;&gt;"Yes",0,IF(OR($F238="",$G238=""),0,IF(AND($F238=VLOOKUP($C238,Matches!$A$2:$Q$200,9,FALSE),$G238=VLOOKUP($C238,Matches!$A$2:$Q$200,10,FALSE)),Setup!$H$5,0))))</x:f>
      </x:c>
      <x:c r="O238" s="66" t="str">
        <x:f>IF($A238="","",$M238+$N238)</x:f>
      </x:c>
      <x:c r="P238" s="18" t="str">
        <x:f>IF($A238="","",IF($L238="Late","Late - 0 points",IF($J238="","Waiting for result",IF($O238&gt;0,"Scored",IF($O238&lt;0,"Wrong pick","No points")))))</x:f>
      </x:c>
    </x:row>
    <x:row r="239">
      <x:c r="A239" s="60" t="n">
        <x:f>'Form Responses 1'!A239</x:f>
        <x:v>0</x:v>
      </x:c>
      <x:c r="B239" s="18" t="n">
        <x:f>'Form Responses 1'!B239</x:f>
        <x:v>0</x:v>
      </x:c>
      <x:c r="C239" s="18" t="n">
        <x:f>'Form Responses 1'!C239</x:f>
        <x:v>0</x:v>
      </x:c>
      <x:c r="D239" s="18" t="n">
        <x:f>'Form Responses 1'!D239</x:f>
        <x:v>0</x:v>
      </x:c>
      <x:c r="E239" s="18" t="n">
        <x:f>'Form Responses 1'!E239</x:f>
        <x:v>0</x:v>
      </x:c>
      <x:c r="F239" s="18" t="n">
        <x:f>'Form Responses 1'!F239</x:f>
        <x:v>0</x:v>
      </x:c>
      <x:c r="G239" s="18" t="n">
        <x:f>'Form Responses 1'!G239</x:f>
        <x:v>0</x:v>
      </x:c>
      <x:c r="H239" s="18" t="str">
        <x:f>IF($C239="","",IFERROR(VLOOKUP($C239,Matches!$A$2:$Q$200,5,FALSE),"Unknown"))</x:f>
      </x:c>
      <x:c r="I239" s="60" t="str">
        <x:f>IF($C239="","",IFERROR(VLOOKUP($C239,Matches!$A$2:$Q$200,16,FALSE),""))</x:f>
      </x:c>
      <x:c r="J239" s="18" t="str">
        <x:f>IF($C239="","",IFERROR(VLOOKUP($C239,Matches!$A$2:$Q$200,11,FALSE),""))</x:f>
      </x:c>
      <x:c r="K239" s="18" t="str">
        <x:f>IF($C239="","",IFERROR(VLOOKUP($C239,Matches!$A$2:$Q$200,12,FALSE),""))</x:f>
      </x:c>
      <x:c r="L239" s="18" t="str">
        <x:f>IF($A239="","",IF($C239=1,"Yes",IF(OR($I239="",$A239&lt;$I239),"Yes","Late")))</x:f>
      </x:c>
      <x:c r="M239" s="66" t="str">
        <x:f>IF($A239="","",IF($L239&lt;&gt;"Yes",0,IF($E239="",0,IF($J239="",0,IF($H239="Group",IF($E239=$J239,Setup!$H$2,Setup!$H$3),IF($E239=$K239,Setup!$H$2,Setup!$H$3))))))</x:f>
      </x:c>
      <x:c r="N239" s="66" t="str">
        <x:f>IF($A239="","",IF($L239&lt;&gt;"Yes",0,IF(OR($F239="",$G239=""),0,IF(AND($F239=VLOOKUP($C239,Matches!$A$2:$Q$200,9,FALSE),$G239=VLOOKUP($C239,Matches!$A$2:$Q$200,10,FALSE)),Setup!$H$5,0))))</x:f>
      </x:c>
      <x:c r="O239" s="66" t="str">
        <x:f>IF($A239="","",$M239+$N239)</x:f>
      </x:c>
      <x:c r="P239" s="18" t="str">
        <x:f>IF($A239="","",IF($L239="Late","Late - 0 points",IF($J239="","Waiting for result",IF($O239&gt;0,"Scored",IF($O239&lt;0,"Wrong pick","No points")))))</x:f>
      </x:c>
    </x:row>
    <x:row r="240">
      <x:c r="A240" s="60" t="n">
        <x:f>'Form Responses 1'!A240</x:f>
        <x:v>0</x:v>
      </x:c>
      <x:c r="B240" s="18" t="n">
        <x:f>'Form Responses 1'!B240</x:f>
        <x:v>0</x:v>
      </x:c>
      <x:c r="C240" s="18" t="n">
        <x:f>'Form Responses 1'!C240</x:f>
        <x:v>0</x:v>
      </x:c>
      <x:c r="D240" s="18" t="n">
        <x:f>'Form Responses 1'!D240</x:f>
        <x:v>0</x:v>
      </x:c>
      <x:c r="E240" s="18" t="n">
        <x:f>'Form Responses 1'!E240</x:f>
        <x:v>0</x:v>
      </x:c>
      <x:c r="F240" s="18" t="n">
        <x:f>'Form Responses 1'!F240</x:f>
        <x:v>0</x:v>
      </x:c>
      <x:c r="G240" s="18" t="n">
        <x:f>'Form Responses 1'!G240</x:f>
        <x:v>0</x:v>
      </x:c>
      <x:c r="H240" s="18" t="str">
        <x:f>IF($C240="","",IFERROR(VLOOKUP($C240,Matches!$A$2:$Q$200,5,FALSE),"Unknown"))</x:f>
      </x:c>
      <x:c r="I240" s="60" t="str">
        <x:f>IF($C240="","",IFERROR(VLOOKUP($C240,Matches!$A$2:$Q$200,16,FALSE),""))</x:f>
      </x:c>
      <x:c r="J240" s="18" t="str">
        <x:f>IF($C240="","",IFERROR(VLOOKUP($C240,Matches!$A$2:$Q$200,11,FALSE),""))</x:f>
      </x:c>
      <x:c r="K240" s="18" t="str">
        <x:f>IF($C240="","",IFERROR(VLOOKUP($C240,Matches!$A$2:$Q$200,12,FALSE),""))</x:f>
      </x:c>
      <x:c r="L240" s="18" t="str">
        <x:f>IF($A240="","",IF($C240=1,"Yes",IF(OR($I240="",$A240&lt;$I240),"Yes","Late")))</x:f>
      </x:c>
      <x:c r="M240" s="66" t="str">
        <x:f>IF($A240="","",IF($L240&lt;&gt;"Yes",0,IF($E240="",0,IF($J240="",0,IF($H240="Group",IF($E240=$J240,Setup!$H$2,Setup!$H$3),IF($E240=$K240,Setup!$H$2,Setup!$H$3))))))</x:f>
      </x:c>
      <x:c r="N240" s="66" t="str">
        <x:f>IF($A240="","",IF($L240&lt;&gt;"Yes",0,IF(OR($F240="",$G240=""),0,IF(AND($F240=VLOOKUP($C240,Matches!$A$2:$Q$200,9,FALSE),$G240=VLOOKUP($C240,Matches!$A$2:$Q$200,10,FALSE)),Setup!$H$5,0))))</x:f>
      </x:c>
      <x:c r="O240" s="66" t="str">
        <x:f>IF($A240="","",$M240+$N240)</x:f>
      </x:c>
      <x:c r="P240" s="18" t="str">
        <x:f>IF($A240="","",IF($L240="Late","Late - 0 points",IF($J240="","Waiting for result",IF($O240&gt;0,"Scored",IF($O240&lt;0,"Wrong pick","No points")))))</x:f>
      </x:c>
    </x:row>
    <x:row r="241">
      <x:c r="A241" s="60" t="n">
        <x:f>'Form Responses 1'!A241</x:f>
        <x:v>0</x:v>
      </x:c>
      <x:c r="B241" s="18" t="n">
        <x:f>'Form Responses 1'!B241</x:f>
        <x:v>0</x:v>
      </x:c>
      <x:c r="C241" s="18" t="n">
        <x:f>'Form Responses 1'!C241</x:f>
        <x:v>0</x:v>
      </x:c>
      <x:c r="D241" s="18" t="n">
        <x:f>'Form Responses 1'!D241</x:f>
        <x:v>0</x:v>
      </x:c>
      <x:c r="E241" s="18" t="n">
        <x:f>'Form Responses 1'!E241</x:f>
        <x:v>0</x:v>
      </x:c>
      <x:c r="F241" s="18" t="n">
        <x:f>'Form Responses 1'!F241</x:f>
        <x:v>0</x:v>
      </x:c>
      <x:c r="G241" s="18" t="n">
        <x:f>'Form Responses 1'!G241</x:f>
        <x:v>0</x:v>
      </x:c>
      <x:c r="H241" s="18" t="str">
        <x:f>IF($C241="","",IFERROR(VLOOKUP($C241,Matches!$A$2:$Q$200,5,FALSE),"Unknown"))</x:f>
      </x:c>
      <x:c r="I241" s="60" t="str">
        <x:f>IF($C241="","",IFERROR(VLOOKUP($C241,Matches!$A$2:$Q$200,16,FALSE),""))</x:f>
      </x:c>
      <x:c r="J241" s="18" t="str">
        <x:f>IF($C241="","",IFERROR(VLOOKUP($C241,Matches!$A$2:$Q$200,11,FALSE),""))</x:f>
      </x:c>
      <x:c r="K241" s="18" t="str">
        <x:f>IF($C241="","",IFERROR(VLOOKUP($C241,Matches!$A$2:$Q$200,12,FALSE),""))</x:f>
      </x:c>
      <x:c r="L241" s="18" t="str">
        <x:f>IF($A241="","",IF($C241=1,"Yes",IF(OR($I241="",$A241&lt;$I241),"Yes","Late")))</x:f>
      </x:c>
      <x:c r="M241" s="66" t="str">
        <x:f>IF($A241="","",IF($L241&lt;&gt;"Yes",0,IF($E241="",0,IF($J241="",0,IF($H241="Group",IF($E241=$J241,Setup!$H$2,Setup!$H$3),IF($E241=$K241,Setup!$H$2,Setup!$H$3))))))</x:f>
      </x:c>
      <x:c r="N241" s="66" t="str">
        <x:f>IF($A241="","",IF($L241&lt;&gt;"Yes",0,IF(OR($F241="",$G241=""),0,IF(AND($F241=VLOOKUP($C241,Matches!$A$2:$Q$200,9,FALSE),$G241=VLOOKUP($C241,Matches!$A$2:$Q$200,10,FALSE)),Setup!$H$5,0))))</x:f>
      </x:c>
      <x:c r="O241" s="66" t="str">
        <x:f>IF($A241="","",$M241+$N241)</x:f>
      </x:c>
      <x:c r="P241" s="18" t="str">
        <x:f>IF($A241="","",IF($L241="Late","Late - 0 points",IF($J241="","Waiting for result",IF($O241&gt;0,"Scored",IF($O241&lt;0,"Wrong pick","No points")))))</x:f>
      </x:c>
    </x:row>
    <x:row r="242">
      <x:c r="A242" s="60" t="n">
        <x:f>'Form Responses 1'!A242</x:f>
        <x:v>0</x:v>
      </x:c>
      <x:c r="B242" s="18" t="n">
        <x:f>'Form Responses 1'!B242</x:f>
        <x:v>0</x:v>
      </x:c>
      <x:c r="C242" s="18" t="n">
        <x:f>'Form Responses 1'!C242</x:f>
        <x:v>0</x:v>
      </x:c>
      <x:c r="D242" s="18" t="n">
        <x:f>'Form Responses 1'!D242</x:f>
        <x:v>0</x:v>
      </x:c>
      <x:c r="E242" s="18" t="n">
        <x:f>'Form Responses 1'!E242</x:f>
        <x:v>0</x:v>
      </x:c>
      <x:c r="F242" s="18" t="n">
        <x:f>'Form Responses 1'!F242</x:f>
        <x:v>0</x:v>
      </x:c>
      <x:c r="G242" s="18" t="n">
        <x:f>'Form Responses 1'!G242</x:f>
        <x:v>0</x:v>
      </x:c>
      <x:c r="H242" s="18" t="str">
        <x:f>IF($C242="","",IFERROR(VLOOKUP($C242,Matches!$A$2:$Q$200,5,FALSE),"Unknown"))</x:f>
      </x:c>
      <x:c r="I242" s="60" t="str">
        <x:f>IF($C242="","",IFERROR(VLOOKUP($C242,Matches!$A$2:$Q$200,16,FALSE),""))</x:f>
      </x:c>
      <x:c r="J242" s="18" t="str">
        <x:f>IF($C242="","",IFERROR(VLOOKUP($C242,Matches!$A$2:$Q$200,11,FALSE),""))</x:f>
      </x:c>
      <x:c r="K242" s="18" t="str">
        <x:f>IF($C242="","",IFERROR(VLOOKUP($C242,Matches!$A$2:$Q$200,12,FALSE),""))</x:f>
      </x:c>
      <x:c r="L242" s="18" t="str">
        <x:f>IF($A242="","",IF($C242=1,"Yes",IF(OR($I242="",$A242&lt;$I242),"Yes","Late")))</x:f>
      </x:c>
      <x:c r="M242" s="66" t="str">
        <x:f>IF($A242="","",IF($L242&lt;&gt;"Yes",0,IF($E242="",0,IF($J242="",0,IF($H242="Group",IF($E242=$J242,Setup!$H$2,Setup!$H$3),IF($E242=$K242,Setup!$H$2,Setup!$H$3))))))</x:f>
      </x:c>
      <x:c r="N242" s="66" t="str">
        <x:f>IF($A242="","",IF($L242&lt;&gt;"Yes",0,IF(OR($F242="",$G242=""),0,IF(AND($F242=VLOOKUP($C242,Matches!$A$2:$Q$200,9,FALSE),$G242=VLOOKUP($C242,Matches!$A$2:$Q$200,10,FALSE)),Setup!$H$5,0))))</x:f>
      </x:c>
      <x:c r="O242" s="66" t="str">
        <x:f>IF($A242="","",$M242+$N242)</x:f>
      </x:c>
      <x:c r="P242" s="18" t="str">
        <x:f>IF($A242="","",IF($L242="Late","Late - 0 points",IF($J242="","Waiting for result",IF($O242&gt;0,"Scored",IF($O242&lt;0,"Wrong pick","No points")))))</x:f>
      </x:c>
    </x:row>
    <x:row r="243">
      <x:c r="A243" s="60" t="n">
        <x:f>'Form Responses 1'!A243</x:f>
        <x:v>0</x:v>
      </x:c>
      <x:c r="B243" s="18" t="n">
        <x:f>'Form Responses 1'!B243</x:f>
        <x:v>0</x:v>
      </x:c>
      <x:c r="C243" s="18" t="n">
        <x:f>'Form Responses 1'!C243</x:f>
        <x:v>0</x:v>
      </x:c>
      <x:c r="D243" s="18" t="n">
        <x:f>'Form Responses 1'!D243</x:f>
        <x:v>0</x:v>
      </x:c>
      <x:c r="E243" s="18" t="n">
        <x:f>'Form Responses 1'!E243</x:f>
        <x:v>0</x:v>
      </x:c>
      <x:c r="F243" s="18" t="n">
        <x:f>'Form Responses 1'!F243</x:f>
        <x:v>0</x:v>
      </x:c>
      <x:c r="G243" s="18" t="n">
        <x:f>'Form Responses 1'!G243</x:f>
        <x:v>0</x:v>
      </x:c>
      <x:c r="H243" s="18" t="str">
        <x:f>IF($C243="","",IFERROR(VLOOKUP($C243,Matches!$A$2:$Q$200,5,FALSE),"Unknown"))</x:f>
      </x:c>
      <x:c r="I243" s="60" t="str">
        <x:f>IF($C243="","",IFERROR(VLOOKUP($C243,Matches!$A$2:$Q$200,16,FALSE),""))</x:f>
      </x:c>
      <x:c r="J243" s="18" t="str">
        <x:f>IF($C243="","",IFERROR(VLOOKUP($C243,Matches!$A$2:$Q$200,11,FALSE),""))</x:f>
      </x:c>
      <x:c r="K243" s="18" t="str">
        <x:f>IF($C243="","",IFERROR(VLOOKUP($C243,Matches!$A$2:$Q$200,12,FALSE),""))</x:f>
      </x:c>
      <x:c r="L243" s="18" t="str">
        <x:f>IF($A243="","",IF($C243=1,"Yes",IF(OR($I243="",$A243&lt;$I243),"Yes","Late")))</x:f>
      </x:c>
      <x:c r="M243" s="66" t="str">
        <x:f>IF($A243="","",IF($L243&lt;&gt;"Yes",0,IF($E243="",0,IF($J243="",0,IF($H243="Group",IF($E243=$J243,Setup!$H$2,Setup!$H$3),IF($E243=$K243,Setup!$H$2,Setup!$H$3))))))</x:f>
      </x:c>
      <x:c r="N243" s="66" t="str">
        <x:f>IF($A243="","",IF($L243&lt;&gt;"Yes",0,IF(OR($F243="",$G243=""),0,IF(AND($F243=VLOOKUP($C243,Matches!$A$2:$Q$200,9,FALSE),$G243=VLOOKUP($C243,Matches!$A$2:$Q$200,10,FALSE)),Setup!$H$5,0))))</x:f>
      </x:c>
      <x:c r="O243" s="66" t="str">
        <x:f>IF($A243="","",$M243+$N243)</x:f>
      </x:c>
      <x:c r="P243" s="18" t="str">
        <x:f>IF($A243="","",IF($L243="Late","Late - 0 points",IF($J243="","Waiting for result",IF($O243&gt;0,"Scored",IF($O243&lt;0,"Wrong pick","No points")))))</x:f>
      </x:c>
    </x:row>
    <x:row r="244">
      <x:c r="A244" s="60" t="n">
        <x:f>'Form Responses 1'!A244</x:f>
        <x:v>0</x:v>
      </x:c>
      <x:c r="B244" s="18" t="n">
        <x:f>'Form Responses 1'!B244</x:f>
        <x:v>0</x:v>
      </x:c>
      <x:c r="C244" s="18" t="n">
        <x:f>'Form Responses 1'!C244</x:f>
        <x:v>0</x:v>
      </x:c>
      <x:c r="D244" s="18" t="n">
        <x:f>'Form Responses 1'!D244</x:f>
        <x:v>0</x:v>
      </x:c>
      <x:c r="E244" s="18" t="n">
        <x:f>'Form Responses 1'!E244</x:f>
        <x:v>0</x:v>
      </x:c>
      <x:c r="F244" s="18" t="n">
        <x:f>'Form Responses 1'!F244</x:f>
        <x:v>0</x:v>
      </x:c>
      <x:c r="G244" s="18" t="n">
        <x:f>'Form Responses 1'!G244</x:f>
        <x:v>0</x:v>
      </x:c>
      <x:c r="H244" s="18" t="str">
        <x:f>IF($C244="","",IFERROR(VLOOKUP($C244,Matches!$A$2:$Q$200,5,FALSE),"Unknown"))</x:f>
      </x:c>
      <x:c r="I244" s="60" t="str">
        <x:f>IF($C244="","",IFERROR(VLOOKUP($C244,Matches!$A$2:$Q$200,16,FALSE),""))</x:f>
      </x:c>
      <x:c r="J244" s="18" t="str">
        <x:f>IF($C244="","",IFERROR(VLOOKUP($C244,Matches!$A$2:$Q$200,11,FALSE),""))</x:f>
      </x:c>
      <x:c r="K244" s="18" t="str">
        <x:f>IF($C244="","",IFERROR(VLOOKUP($C244,Matches!$A$2:$Q$200,12,FALSE),""))</x:f>
      </x:c>
      <x:c r="L244" s="18" t="str">
        <x:f>IF($A244="","",IF($C244=1,"Yes",IF(OR($I244="",$A244&lt;$I244),"Yes","Late")))</x:f>
      </x:c>
      <x:c r="M244" s="66" t="str">
        <x:f>IF($A244="","",IF($L244&lt;&gt;"Yes",0,IF($E244="",0,IF($J244="",0,IF($H244="Group",IF($E244=$J244,Setup!$H$2,Setup!$H$3),IF($E244=$K244,Setup!$H$2,Setup!$H$3))))))</x:f>
      </x:c>
      <x:c r="N244" s="66" t="str">
        <x:f>IF($A244="","",IF($L244&lt;&gt;"Yes",0,IF(OR($F244="",$G244=""),0,IF(AND($F244=VLOOKUP($C244,Matches!$A$2:$Q$200,9,FALSE),$G244=VLOOKUP($C244,Matches!$A$2:$Q$200,10,FALSE)),Setup!$H$5,0))))</x:f>
      </x:c>
      <x:c r="O244" s="66" t="str">
        <x:f>IF($A244="","",$M244+$N244)</x:f>
      </x:c>
      <x:c r="P244" s="18" t="str">
        <x:f>IF($A244="","",IF($L244="Late","Late - 0 points",IF($J244="","Waiting for result",IF($O244&gt;0,"Scored",IF($O244&lt;0,"Wrong pick","No points")))))</x:f>
      </x:c>
    </x:row>
    <x:row r="245">
      <x:c r="A245" s="60" t="n">
        <x:f>'Form Responses 1'!A245</x:f>
        <x:v>0</x:v>
      </x:c>
      <x:c r="B245" s="18" t="n">
        <x:f>'Form Responses 1'!B245</x:f>
        <x:v>0</x:v>
      </x:c>
      <x:c r="C245" s="18" t="n">
        <x:f>'Form Responses 1'!C245</x:f>
        <x:v>0</x:v>
      </x:c>
      <x:c r="D245" s="18" t="n">
        <x:f>'Form Responses 1'!D245</x:f>
        <x:v>0</x:v>
      </x:c>
      <x:c r="E245" s="18" t="n">
        <x:f>'Form Responses 1'!E245</x:f>
        <x:v>0</x:v>
      </x:c>
      <x:c r="F245" s="18" t="n">
        <x:f>'Form Responses 1'!F245</x:f>
        <x:v>0</x:v>
      </x:c>
      <x:c r="G245" s="18" t="n">
        <x:f>'Form Responses 1'!G245</x:f>
        <x:v>0</x:v>
      </x:c>
      <x:c r="H245" s="18" t="str">
        <x:f>IF($C245="","",IFERROR(VLOOKUP($C245,Matches!$A$2:$Q$200,5,FALSE),"Unknown"))</x:f>
      </x:c>
      <x:c r="I245" s="60" t="str">
        <x:f>IF($C245="","",IFERROR(VLOOKUP($C245,Matches!$A$2:$Q$200,16,FALSE),""))</x:f>
      </x:c>
      <x:c r="J245" s="18" t="str">
        <x:f>IF($C245="","",IFERROR(VLOOKUP($C245,Matches!$A$2:$Q$200,11,FALSE),""))</x:f>
      </x:c>
      <x:c r="K245" s="18" t="str">
        <x:f>IF($C245="","",IFERROR(VLOOKUP($C245,Matches!$A$2:$Q$200,12,FALSE),""))</x:f>
      </x:c>
      <x:c r="L245" s="18" t="str">
        <x:f>IF($A245="","",IF($C245=1,"Yes",IF(OR($I245="",$A245&lt;$I245),"Yes","Late")))</x:f>
      </x:c>
      <x:c r="M245" s="66" t="str">
        <x:f>IF($A245="","",IF($L245&lt;&gt;"Yes",0,IF($E245="",0,IF($J245="",0,IF($H245="Group",IF($E245=$J245,Setup!$H$2,Setup!$H$3),IF($E245=$K245,Setup!$H$2,Setup!$H$3))))))</x:f>
      </x:c>
      <x:c r="N245" s="66" t="str">
        <x:f>IF($A245="","",IF($L245&lt;&gt;"Yes",0,IF(OR($F245="",$G245=""),0,IF(AND($F245=VLOOKUP($C245,Matches!$A$2:$Q$200,9,FALSE),$G245=VLOOKUP($C245,Matches!$A$2:$Q$200,10,FALSE)),Setup!$H$5,0))))</x:f>
      </x:c>
      <x:c r="O245" s="66" t="str">
        <x:f>IF($A245="","",$M245+$N245)</x:f>
      </x:c>
      <x:c r="P245" s="18" t="str">
        <x:f>IF($A245="","",IF($L245="Late","Late - 0 points",IF($J245="","Waiting for result",IF($O245&gt;0,"Scored",IF($O245&lt;0,"Wrong pick","No points")))))</x:f>
      </x:c>
    </x:row>
    <x:row r="246">
      <x:c r="A246" s="60" t="n">
        <x:f>'Form Responses 1'!A246</x:f>
        <x:v>0</x:v>
      </x:c>
      <x:c r="B246" s="18" t="n">
        <x:f>'Form Responses 1'!B246</x:f>
        <x:v>0</x:v>
      </x:c>
      <x:c r="C246" s="18" t="n">
        <x:f>'Form Responses 1'!C246</x:f>
        <x:v>0</x:v>
      </x:c>
      <x:c r="D246" s="18" t="n">
        <x:f>'Form Responses 1'!D246</x:f>
        <x:v>0</x:v>
      </x:c>
      <x:c r="E246" s="18" t="n">
        <x:f>'Form Responses 1'!E246</x:f>
        <x:v>0</x:v>
      </x:c>
      <x:c r="F246" s="18" t="n">
        <x:f>'Form Responses 1'!F246</x:f>
        <x:v>0</x:v>
      </x:c>
      <x:c r="G246" s="18" t="n">
        <x:f>'Form Responses 1'!G246</x:f>
        <x:v>0</x:v>
      </x:c>
      <x:c r="H246" s="18" t="str">
        <x:f>IF($C246="","",IFERROR(VLOOKUP($C246,Matches!$A$2:$Q$200,5,FALSE),"Unknown"))</x:f>
      </x:c>
      <x:c r="I246" s="60" t="str">
        <x:f>IF($C246="","",IFERROR(VLOOKUP($C246,Matches!$A$2:$Q$200,16,FALSE),""))</x:f>
      </x:c>
      <x:c r="J246" s="18" t="str">
        <x:f>IF($C246="","",IFERROR(VLOOKUP($C246,Matches!$A$2:$Q$200,11,FALSE),""))</x:f>
      </x:c>
      <x:c r="K246" s="18" t="str">
        <x:f>IF($C246="","",IFERROR(VLOOKUP($C246,Matches!$A$2:$Q$200,12,FALSE),""))</x:f>
      </x:c>
      <x:c r="L246" s="18" t="str">
        <x:f>IF($A246="","",IF($C246=1,"Yes",IF(OR($I246="",$A246&lt;$I246),"Yes","Late")))</x:f>
      </x:c>
      <x:c r="M246" s="66" t="str">
        <x:f>IF($A246="","",IF($L246&lt;&gt;"Yes",0,IF($E246="",0,IF($J246="",0,IF($H246="Group",IF($E246=$J246,Setup!$H$2,Setup!$H$3),IF($E246=$K246,Setup!$H$2,Setup!$H$3))))))</x:f>
      </x:c>
      <x:c r="N246" s="66" t="str">
        <x:f>IF($A246="","",IF($L246&lt;&gt;"Yes",0,IF(OR($F246="",$G246=""),0,IF(AND($F246=VLOOKUP($C246,Matches!$A$2:$Q$200,9,FALSE),$G246=VLOOKUP($C246,Matches!$A$2:$Q$200,10,FALSE)),Setup!$H$5,0))))</x:f>
      </x:c>
      <x:c r="O246" s="66" t="str">
        <x:f>IF($A246="","",$M246+$N246)</x:f>
      </x:c>
      <x:c r="P246" s="18" t="str">
        <x:f>IF($A246="","",IF($L246="Late","Late - 0 points",IF($J246="","Waiting for result",IF($O246&gt;0,"Scored",IF($O246&lt;0,"Wrong pick","No points")))))</x:f>
      </x:c>
    </x:row>
    <x:row r="247">
      <x:c r="A247" s="60" t="n">
        <x:f>'Form Responses 1'!A247</x:f>
        <x:v>0</x:v>
      </x:c>
      <x:c r="B247" s="18" t="n">
        <x:f>'Form Responses 1'!B247</x:f>
        <x:v>0</x:v>
      </x:c>
      <x:c r="C247" s="18" t="n">
        <x:f>'Form Responses 1'!C247</x:f>
        <x:v>0</x:v>
      </x:c>
      <x:c r="D247" s="18" t="n">
        <x:f>'Form Responses 1'!D247</x:f>
        <x:v>0</x:v>
      </x:c>
      <x:c r="E247" s="18" t="n">
        <x:f>'Form Responses 1'!E247</x:f>
        <x:v>0</x:v>
      </x:c>
      <x:c r="F247" s="18" t="n">
        <x:f>'Form Responses 1'!F247</x:f>
        <x:v>0</x:v>
      </x:c>
      <x:c r="G247" s="18" t="n">
        <x:f>'Form Responses 1'!G247</x:f>
        <x:v>0</x:v>
      </x:c>
      <x:c r="H247" s="18" t="str">
        <x:f>IF($C247="","",IFERROR(VLOOKUP($C247,Matches!$A$2:$Q$200,5,FALSE),"Unknown"))</x:f>
      </x:c>
      <x:c r="I247" s="60" t="str">
        <x:f>IF($C247="","",IFERROR(VLOOKUP($C247,Matches!$A$2:$Q$200,16,FALSE),""))</x:f>
      </x:c>
      <x:c r="J247" s="18" t="str">
        <x:f>IF($C247="","",IFERROR(VLOOKUP($C247,Matches!$A$2:$Q$200,11,FALSE),""))</x:f>
      </x:c>
      <x:c r="K247" s="18" t="str">
        <x:f>IF($C247="","",IFERROR(VLOOKUP($C247,Matches!$A$2:$Q$200,12,FALSE),""))</x:f>
      </x:c>
      <x:c r="L247" s="18" t="str">
        <x:f>IF($A247="","",IF($C247=1,"Yes",IF(OR($I247="",$A247&lt;$I247),"Yes","Late")))</x:f>
      </x:c>
      <x:c r="M247" s="66" t="str">
        <x:f>IF($A247="","",IF($L247&lt;&gt;"Yes",0,IF($E247="",0,IF($J247="",0,IF($H247="Group",IF($E247=$J247,Setup!$H$2,Setup!$H$3),IF($E247=$K247,Setup!$H$2,Setup!$H$3))))))</x:f>
      </x:c>
      <x:c r="N247" s="66" t="str">
        <x:f>IF($A247="","",IF($L247&lt;&gt;"Yes",0,IF(OR($F247="",$G247=""),0,IF(AND($F247=VLOOKUP($C247,Matches!$A$2:$Q$200,9,FALSE),$G247=VLOOKUP($C247,Matches!$A$2:$Q$200,10,FALSE)),Setup!$H$5,0))))</x:f>
      </x:c>
      <x:c r="O247" s="66" t="str">
        <x:f>IF($A247="","",$M247+$N247)</x:f>
      </x:c>
      <x:c r="P247" s="18" t="str">
        <x:f>IF($A247="","",IF($L247="Late","Late - 0 points",IF($J247="","Waiting for result",IF($O247&gt;0,"Scored",IF($O247&lt;0,"Wrong pick","No points")))))</x:f>
      </x:c>
    </x:row>
    <x:row r="248">
      <x:c r="A248" s="60" t="n">
        <x:f>'Form Responses 1'!A248</x:f>
        <x:v>0</x:v>
      </x:c>
      <x:c r="B248" s="18" t="n">
        <x:f>'Form Responses 1'!B248</x:f>
        <x:v>0</x:v>
      </x:c>
      <x:c r="C248" s="18" t="n">
        <x:f>'Form Responses 1'!C248</x:f>
        <x:v>0</x:v>
      </x:c>
      <x:c r="D248" s="18" t="n">
        <x:f>'Form Responses 1'!D248</x:f>
        <x:v>0</x:v>
      </x:c>
      <x:c r="E248" s="18" t="n">
        <x:f>'Form Responses 1'!E248</x:f>
        <x:v>0</x:v>
      </x:c>
      <x:c r="F248" s="18" t="n">
        <x:f>'Form Responses 1'!F248</x:f>
        <x:v>0</x:v>
      </x:c>
      <x:c r="G248" s="18" t="n">
        <x:f>'Form Responses 1'!G248</x:f>
        <x:v>0</x:v>
      </x:c>
      <x:c r="H248" s="18" t="str">
        <x:f>IF($C248="","",IFERROR(VLOOKUP($C248,Matches!$A$2:$Q$200,5,FALSE),"Unknown"))</x:f>
      </x:c>
      <x:c r="I248" s="60" t="str">
        <x:f>IF($C248="","",IFERROR(VLOOKUP($C248,Matches!$A$2:$Q$200,16,FALSE),""))</x:f>
      </x:c>
      <x:c r="J248" s="18" t="str">
        <x:f>IF($C248="","",IFERROR(VLOOKUP($C248,Matches!$A$2:$Q$200,11,FALSE),""))</x:f>
      </x:c>
      <x:c r="K248" s="18" t="str">
        <x:f>IF($C248="","",IFERROR(VLOOKUP($C248,Matches!$A$2:$Q$200,12,FALSE),""))</x:f>
      </x:c>
      <x:c r="L248" s="18" t="str">
        <x:f>IF($A248="","",IF($C248=1,"Yes",IF(OR($I248="",$A248&lt;$I248),"Yes","Late")))</x:f>
      </x:c>
      <x:c r="M248" s="66" t="str">
        <x:f>IF($A248="","",IF($L248&lt;&gt;"Yes",0,IF($E248="",0,IF($J248="",0,IF($H248="Group",IF($E248=$J248,Setup!$H$2,Setup!$H$3),IF($E248=$K248,Setup!$H$2,Setup!$H$3))))))</x:f>
      </x:c>
      <x:c r="N248" s="66" t="str">
        <x:f>IF($A248="","",IF($L248&lt;&gt;"Yes",0,IF(OR($F248="",$G248=""),0,IF(AND($F248=VLOOKUP($C248,Matches!$A$2:$Q$200,9,FALSE),$G248=VLOOKUP($C248,Matches!$A$2:$Q$200,10,FALSE)),Setup!$H$5,0))))</x:f>
      </x:c>
      <x:c r="O248" s="66" t="str">
        <x:f>IF($A248="","",$M248+$N248)</x:f>
      </x:c>
      <x:c r="P248" s="18" t="str">
        <x:f>IF($A248="","",IF($L248="Late","Late - 0 points",IF($J248="","Waiting for result",IF($O248&gt;0,"Scored",IF($O248&lt;0,"Wrong pick","No points")))))</x:f>
      </x:c>
    </x:row>
    <x:row r="249">
      <x:c r="A249" s="60" t="n">
        <x:f>'Form Responses 1'!A249</x:f>
        <x:v>0</x:v>
      </x:c>
      <x:c r="B249" s="18" t="n">
        <x:f>'Form Responses 1'!B249</x:f>
        <x:v>0</x:v>
      </x:c>
      <x:c r="C249" s="18" t="n">
        <x:f>'Form Responses 1'!C249</x:f>
        <x:v>0</x:v>
      </x:c>
      <x:c r="D249" s="18" t="n">
        <x:f>'Form Responses 1'!D249</x:f>
        <x:v>0</x:v>
      </x:c>
      <x:c r="E249" s="18" t="n">
        <x:f>'Form Responses 1'!E249</x:f>
        <x:v>0</x:v>
      </x:c>
      <x:c r="F249" s="18" t="n">
        <x:f>'Form Responses 1'!F249</x:f>
        <x:v>0</x:v>
      </x:c>
      <x:c r="G249" s="18" t="n">
        <x:f>'Form Responses 1'!G249</x:f>
        <x:v>0</x:v>
      </x:c>
      <x:c r="H249" s="18" t="str">
        <x:f>IF($C249="","",IFERROR(VLOOKUP($C249,Matches!$A$2:$Q$200,5,FALSE),"Unknown"))</x:f>
      </x:c>
      <x:c r="I249" s="60" t="str">
        <x:f>IF($C249="","",IFERROR(VLOOKUP($C249,Matches!$A$2:$Q$200,16,FALSE),""))</x:f>
      </x:c>
      <x:c r="J249" s="18" t="str">
        <x:f>IF($C249="","",IFERROR(VLOOKUP($C249,Matches!$A$2:$Q$200,11,FALSE),""))</x:f>
      </x:c>
      <x:c r="K249" s="18" t="str">
        <x:f>IF($C249="","",IFERROR(VLOOKUP($C249,Matches!$A$2:$Q$200,12,FALSE),""))</x:f>
      </x:c>
      <x:c r="L249" s="18" t="str">
        <x:f>IF($A249="","",IF($C249=1,"Yes",IF(OR($I249="",$A249&lt;$I249),"Yes","Late")))</x:f>
      </x:c>
      <x:c r="M249" s="66" t="str">
        <x:f>IF($A249="","",IF($L249&lt;&gt;"Yes",0,IF($E249="",0,IF($J249="",0,IF($H249="Group",IF($E249=$J249,Setup!$H$2,Setup!$H$3),IF($E249=$K249,Setup!$H$2,Setup!$H$3))))))</x:f>
      </x:c>
      <x:c r="N249" s="66" t="str">
        <x:f>IF($A249="","",IF($L249&lt;&gt;"Yes",0,IF(OR($F249="",$G249=""),0,IF(AND($F249=VLOOKUP($C249,Matches!$A$2:$Q$200,9,FALSE),$G249=VLOOKUP($C249,Matches!$A$2:$Q$200,10,FALSE)),Setup!$H$5,0))))</x:f>
      </x:c>
      <x:c r="O249" s="66" t="str">
        <x:f>IF($A249="","",$M249+$N249)</x:f>
      </x:c>
      <x:c r="P249" s="18" t="str">
        <x:f>IF($A249="","",IF($L249="Late","Late - 0 points",IF($J249="","Waiting for result",IF($O249&gt;0,"Scored",IF($O249&lt;0,"Wrong pick","No points")))))</x:f>
      </x:c>
    </x:row>
    <x:row r="250">
      <x:c r="A250" s="60" t="n">
        <x:f>'Form Responses 1'!A250</x:f>
        <x:v>0</x:v>
      </x:c>
      <x:c r="B250" s="18" t="n">
        <x:f>'Form Responses 1'!B250</x:f>
        <x:v>0</x:v>
      </x:c>
      <x:c r="C250" s="18" t="n">
        <x:f>'Form Responses 1'!C250</x:f>
        <x:v>0</x:v>
      </x:c>
      <x:c r="D250" s="18" t="n">
        <x:f>'Form Responses 1'!D250</x:f>
        <x:v>0</x:v>
      </x:c>
      <x:c r="E250" s="18" t="n">
        <x:f>'Form Responses 1'!E250</x:f>
        <x:v>0</x:v>
      </x:c>
      <x:c r="F250" s="18" t="n">
        <x:f>'Form Responses 1'!F250</x:f>
        <x:v>0</x:v>
      </x:c>
      <x:c r="G250" s="18" t="n">
        <x:f>'Form Responses 1'!G250</x:f>
        <x:v>0</x:v>
      </x:c>
      <x:c r="H250" s="18" t="str">
        <x:f>IF($C250="","",IFERROR(VLOOKUP($C250,Matches!$A$2:$Q$200,5,FALSE),"Unknown"))</x:f>
      </x:c>
      <x:c r="I250" s="60" t="str">
        <x:f>IF($C250="","",IFERROR(VLOOKUP($C250,Matches!$A$2:$Q$200,16,FALSE),""))</x:f>
      </x:c>
      <x:c r="J250" s="18" t="str">
        <x:f>IF($C250="","",IFERROR(VLOOKUP($C250,Matches!$A$2:$Q$200,11,FALSE),""))</x:f>
      </x:c>
      <x:c r="K250" s="18" t="str">
        <x:f>IF($C250="","",IFERROR(VLOOKUP($C250,Matches!$A$2:$Q$200,12,FALSE),""))</x:f>
      </x:c>
      <x:c r="L250" s="18" t="str">
        <x:f>IF($A250="","",IF($C250=1,"Yes",IF(OR($I250="",$A250&lt;$I250),"Yes","Late")))</x:f>
      </x:c>
      <x:c r="M250" s="66" t="str">
        <x:f>IF($A250="","",IF($L250&lt;&gt;"Yes",0,IF($E250="",0,IF($J250="",0,IF($H250="Group",IF($E250=$J250,Setup!$H$2,Setup!$H$3),IF($E250=$K250,Setup!$H$2,Setup!$H$3))))))</x:f>
      </x:c>
      <x:c r="N250" s="66" t="str">
        <x:f>IF($A250="","",IF($L250&lt;&gt;"Yes",0,IF(OR($F250="",$G250=""),0,IF(AND($F250=VLOOKUP($C250,Matches!$A$2:$Q$200,9,FALSE),$G250=VLOOKUP($C250,Matches!$A$2:$Q$200,10,FALSE)),Setup!$H$5,0))))</x:f>
      </x:c>
      <x:c r="O250" s="66" t="str">
        <x:f>IF($A250="","",$M250+$N250)</x:f>
      </x:c>
      <x:c r="P250" s="18" t="str">
        <x:f>IF($A250="","",IF($L250="Late","Late - 0 points",IF($J250="","Waiting for result",IF($O250&gt;0,"Scored",IF($O250&lt;0,"Wrong pick","No points")))))</x:f>
      </x:c>
    </x:row>
    <x:row r="251">
      <x:c r="A251" s="60" t="n">
        <x:f>'Form Responses 1'!A251</x:f>
        <x:v>0</x:v>
      </x:c>
      <x:c r="B251" s="18" t="n">
        <x:f>'Form Responses 1'!B251</x:f>
        <x:v>0</x:v>
      </x:c>
      <x:c r="C251" s="18" t="n">
        <x:f>'Form Responses 1'!C251</x:f>
        <x:v>0</x:v>
      </x:c>
      <x:c r="D251" s="18" t="n">
        <x:f>'Form Responses 1'!D251</x:f>
        <x:v>0</x:v>
      </x:c>
      <x:c r="E251" s="18" t="n">
        <x:f>'Form Responses 1'!E251</x:f>
        <x:v>0</x:v>
      </x:c>
      <x:c r="F251" s="18" t="n">
        <x:f>'Form Responses 1'!F251</x:f>
        <x:v>0</x:v>
      </x:c>
      <x:c r="G251" s="18" t="n">
        <x:f>'Form Responses 1'!G251</x:f>
        <x:v>0</x:v>
      </x:c>
      <x:c r="H251" s="18" t="str">
        <x:f>IF($C251="","",IFERROR(VLOOKUP($C251,Matches!$A$2:$Q$200,5,FALSE),"Unknown"))</x:f>
      </x:c>
      <x:c r="I251" s="60" t="str">
        <x:f>IF($C251="","",IFERROR(VLOOKUP($C251,Matches!$A$2:$Q$200,16,FALSE),""))</x:f>
      </x:c>
      <x:c r="J251" s="18" t="str">
        <x:f>IF($C251="","",IFERROR(VLOOKUP($C251,Matches!$A$2:$Q$200,11,FALSE),""))</x:f>
      </x:c>
      <x:c r="K251" s="18" t="str">
        <x:f>IF($C251="","",IFERROR(VLOOKUP($C251,Matches!$A$2:$Q$200,12,FALSE),""))</x:f>
      </x:c>
      <x:c r="L251" s="18" t="str">
        <x:f>IF($A251="","",IF($C251=1,"Yes",IF(OR($I251="",$A251&lt;$I251),"Yes","Late")))</x:f>
      </x:c>
      <x:c r="M251" s="66" t="str">
        <x:f>IF($A251="","",IF($L251&lt;&gt;"Yes",0,IF($E251="",0,IF($J251="",0,IF($H251="Group",IF($E251=$J251,Setup!$H$2,Setup!$H$3),IF($E251=$K251,Setup!$H$2,Setup!$H$3))))))</x:f>
      </x:c>
      <x:c r="N251" s="66" t="str">
        <x:f>IF($A251="","",IF($L251&lt;&gt;"Yes",0,IF(OR($F251="",$G251=""),0,IF(AND($F251=VLOOKUP($C251,Matches!$A$2:$Q$200,9,FALSE),$G251=VLOOKUP($C251,Matches!$A$2:$Q$200,10,FALSE)),Setup!$H$5,0))))</x:f>
      </x:c>
      <x:c r="O251" s="66" t="str">
        <x:f>IF($A251="","",$M251+$N251)</x:f>
      </x:c>
      <x:c r="P251" s="18" t="str">
        <x:f>IF($A251="","",IF($L251="Late","Late - 0 points",IF($J251="","Waiting for result",IF($O251&gt;0,"Scored",IF($O251&lt;0,"Wrong pick","No points")))))</x:f>
      </x:c>
    </x:row>
    <x:row r="252">
      <x:c r="A252" s="60" t="n">
        <x:f>'Form Responses 1'!A252</x:f>
        <x:v>0</x:v>
      </x:c>
      <x:c r="B252" s="18" t="n">
        <x:f>'Form Responses 1'!B252</x:f>
        <x:v>0</x:v>
      </x:c>
      <x:c r="C252" s="18" t="n">
        <x:f>'Form Responses 1'!C252</x:f>
        <x:v>0</x:v>
      </x:c>
      <x:c r="D252" s="18" t="n">
        <x:f>'Form Responses 1'!D252</x:f>
        <x:v>0</x:v>
      </x:c>
      <x:c r="E252" s="18" t="n">
        <x:f>'Form Responses 1'!E252</x:f>
        <x:v>0</x:v>
      </x:c>
      <x:c r="F252" s="18" t="n">
        <x:f>'Form Responses 1'!F252</x:f>
        <x:v>0</x:v>
      </x:c>
      <x:c r="G252" s="18" t="n">
        <x:f>'Form Responses 1'!G252</x:f>
        <x:v>0</x:v>
      </x:c>
      <x:c r="H252" s="18" t="str">
        <x:f>IF($C252="","",IFERROR(VLOOKUP($C252,Matches!$A$2:$Q$200,5,FALSE),"Unknown"))</x:f>
      </x:c>
      <x:c r="I252" s="60" t="str">
        <x:f>IF($C252="","",IFERROR(VLOOKUP($C252,Matches!$A$2:$Q$200,16,FALSE),""))</x:f>
      </x:c>
      <x:c r="J252" s="18" t="str">
        <x:f>IF($C252="","",IFERROR(VLOOKUP($C252,Matches!$A$2:$Q$200,11,FALSE),""))</x:f>
      </x:c>
      <x:c r="K252" s="18" t="str">
        <x:f>IF($C252="","",IFERROR(VLOOKUP($C252,Matches!$A$2:$Q$200,12,FALSE),""))</x:f>
      </x:c>
      <x:c r="L252" s="18" t="str">
        <x:f>IF($A252="","",IF($C252=1,"Yes",IF(OR($I252="",$A252&lt;$I252),"Yes","Late")))</x:f>
      </x:c>
      <x:c r="M252" s="66" t="str">
        <x:f>IF($A252="","",IF($L252&lt;&gt;"Yes",0,IF($E252="",0,IF($J252="",0,IF($H252="Group",IF($E252=$J252,Setup!$H$2,Setup!$H$3),IF($E252=$K252,Setup!$H$2,Setup!$H$3))))))</x:f>
      </x:c>
      <x:c r="N252" s="66" t="str">
        <x:f>IF($A252="","",IF($L252&lt;&gt;"Yes",0,IF(OR($F252="",$G252=""),0,IF(AND($F252=VLOOKUP($C252,Matches!$A$2:$Q$200,9,FALSE),$G252=VLOOKUP($C252,Matches!$A$2:$Q$200,10,FALSE)),Setup!$H$5,0))))</x:f>
      </x:c>
      <x:c r="O252" s="66" t="str">
        <x:f>IF($A252="","",$M252+$N252)</x:f>
      </x:c>
      <x:c r="P252" s="18" t="str">
        <x:f>IF($A252="","",IF($L252="Late","Late - 0 points",IF($J252="","Waiting for result",IF($O252&gt;0,"Scored",IF($O252&lt;0,"Wrong pick","No points")))))</x:f>
      </x:c>
    </x:row>
    <x:row r="253">
      <x:c r="A253" s="60" t="n">
        <x:f>'Form Responses 1'!A253</x:f>
        <x:v>0</x:v>
      </x:c>
      <x:c r="B253" s="18" t="n">
        <x:f>'Form Responses 1'!B253</x:f>
        <x:v>0</x:v>
      </x:c>
      <x:c r="C253" s="18" t="n">
        <x:f>'Form Responses 1'!C253</x:f>
        <x:v>0</x:v>
      </x:c>
      <x:c r="D253" s="18" t="n">
        <x:f>'Form Responses 1'!D253</x:f>
        <x:v>0</x:v>
      </x:c>
      <x:c r="E253" s="18" t="n">
        <x:f>'Form Responses 1'!E253</x:f>
        <x:v>0</x:v>
      </x:c>
      <x:c r="F253" s="18" t="n">
        <x:f>'Form Responses 1'!F253</x:f>
        <x:v>0</x:v>
      </x:c>
      <x:c r="G253" s="18" t="n">
        <x:f>'Form Responses 1'!G253</x:f>
        <x:v>0</x:v>
      </x:c>
      <x:c r="H253" s="18" t="str">
        <x:f>IF($C253="","",IFERROR(VLOOKUP($C253,Matches!$A$2:$Q$200,5,FALSE),"Unknown"))</x:f>
      </x:c>
      <x:c r="I253" s="60" t="str">
        <x:f>IF($C253="","",IFERROR(VLOOKUP($C253,Matches!$A$2:$Q$200,16,FALSE),""))</x:f>
      </x:c>
      <x:c r="J253" s="18" t="str">
        <x:f>IF($C253="","",IFERROR(VLOOKUP($C253,Matches!$A$2:$Q$200,11,FALSE),""))</x:f>
      </x:c>
      <x:c r="K253" s="18" t="str">
        <x:f>IF($C253="","",IFERROR(VLOOKUP($C253,Matches!$A$2:$Q$200,12,FALSE),""))</x:f>
      </x:c>
      <x:c r="L253" s="18" t="str">
        <x:f>IF($A253="","",IF($C253=1,"Yes",IF(OR($I253="",$A253&lt;$I253),"Yes","Late")))</x:f>
      </x:c>
      <x:c r="M253" s="66" t="str">
        <x:f>IF($A253="","",IF($L253&lt;&gt;"Yes",0,IF($E253="",0,IF($J253="",0,IF($H253="Group",IF($E253=$J253,Setup!$H$2,Setup!$H$3),IF($E253=$K253,Setup!$H$2,Setup!$H$3))))))</x:f>
      </x:c>
      <x:c r="N253" s="66" t="str">
        <x:f>IF($A253="","",IF($L253&lt;&gt;"Yes",0,IF(OR($F253="",$G253=""),0,IF(AND($F253=VLOOKUP($C253,Matches!$A$2:$Q$200,9,FALSE),$G253=VLOOKUP($C253,Matches!$A$2:$Q$200,10,FALSE)),Setup!$H$5,0))))</x:f>
      </x:c>
      <x:c r="O253" s="66" t="str">
        <x:f>IF($A253="","",$M253+$N253)</x:f>
      </x:c>
      <x:c r="P253" s="18" t="str">
        <x:f>IF($A253="","",IF($L253="Late","Late - 0 points",IF($J253="","Waiting for result",IF($O253&gt;0,"Scored",IF($O253&lt;0,"Wrong pick","No points")))))</x:f>
      </x:c>
    </x:row>
    <x:row r="254">
      <x:c r="A254" s="60" t="n">
        <x:f>'Form Responses 1'!A254</x:f>
        <x:v>0</x:v>
      </x:c>
      <x:c r="B254" s="18" t="n">
        <x:f>'Form Responses 1'!B254</x:f>
        <x:v>0</x:v>
      </x:c>
      <x:c r="C254" s="18" t="n">
        <x:f>'Form Responses 1'!C254</x:f>
        <x:v>0</x:v>
      </x:c>
      <x:c r="D254" s="18" t="n">
        <x:f>'Form Responses 1'!D254</x:f>
        <x:v>0</x:v>
      </x:c>
      <x:c r="E254" s="18" t="n">
        <x:f>'Form Responses 1'!E254</x:f>
        <x:v>0</x:v>
      </x:c>
      <x:c r="F254" s="18" t="n">
        <x:f>'Form Responses 1'!F254</x:f>
        <x:v>0</x:v>
      </x:c>
      <x:c r="G254" s="18" t="n">
        <x:f>'Form Responses 1'!G254</x:f>
        <x:v>0</x:v>
      </x:c>
      <x:c r="H254" s="18" t="str">
        <x:f>IF($C254="","",IFERROR(VLOOKUP($C254,Matches!$A$2:$Q$200,5,FALSE),"Unknown"))</x:f>
      </x:c>
      <x:c r="I254" s="60" t="str">
        <x:f>IF($C254="","",IFERROR(VLOOKUP($C254,Matches!$A$2:$Q$200,16,FALSE),""))</x:f>
      </x:c>
      <x:c r="J254" s="18" t="str">
        <x:f>IF($C254="","",IFERROR(VLOOKUP($C254,Matches!$A$2:$Q$200,11,FALSE),""))</x:f>
      </x:c>
      <x:c r="K254" s="18" t="str">
        <x:f>IF($C254="","",IFERROR(VLOOKUP($C254,Matches!$A$2:$Q$200,12,FALSE),""))</x:f>
      </x:c>
      <x:c r="L254" s="18" t="str">
        <x:f>IF($A254="","",IF($C254=1,"Yes",IF(OR($I254="",$A254&lt;$I254),"Yes","Late")))</x:f>
      </x:c>
      <x:c r="M254" s="66" t="str">
        <x:f>IF($A254="","",IF($L254&lt;&gt;"Yes",0,IF($E254="",0,IF($J254="",0,IF($H254="Group",IF($E254=$J254,Setup!$H$2,Setup!$H$3),IF($E254=$K254,Setup!$H$2,Setup!$H$3))))))</x:f>
      </x:c>
      <x:c r="N254" s="66" t="str">
        <x:f>IF($A254="","",IF($L254&lt;&gt;"Yes",0,IF(OR($F254="",$G254=""),0,IF(AND($F254=VLOOKUP($C254,Matches!$A$2:$Q$200,9,FALSE),$G254=VLOOKUP($C254,Matches!$A$2:$Q$200,10,FALSE)),Setup!$H$5,0))))</x:f>
      </x:c>
      <x:c r="O254" s="66" t="str">
        <x:f>IF($A254="","",$M254+$N254)</x:f>
      </x:c>
      <x:c r="P254" s="18" t="str">
        <x:f>IF($A254="","",IF($L254="Late","Late - 0 points",IF($J254="","Waiting for result",IF($O254&gt;0,"Scored",IF($O254&lt;0,"Wrong pick","No points")))))</x:f>
      </x:c>
    </x:row>
    <x:row r="255">
      <x:c r="A255" s="60" t="n">
        <x:f>'Form Responses 1'!A255</x:f>
        <x:v>0</x:v>
      </x:c>
      <x:c r="B255" s="18" t="n">
        <x:f>'Form Responses 1'!B255</x:f>
        <x:v>0</x:v>
      </x:c>
      <x:c r="C255" s="18" t="n">
        <x:f>'Form Responses 1'!C255</x:f>
        <x:v>0</x:v>
      </x:c>
      <x:c r="D255" s="18" t="n">
        <x:f>'Form Responses 1'!D255</x:f>
        <x:v>0</x:v>
      </x:c>
      <x:c r="E255" s="18" t="n">
        <x:f>'Form Responses 1'!E255</x:f>
        <x:v>0</x:v>
      </x:c>
      <x:c r="F255" s="18" t="n">
        <x:f>'Form Responses 1'!F255</x:f>
        <x:v>0</x:v>
      </x:c>
      <x:c r="G255" s="18" t="n">
        <x:f>'Form Responses 1'!G255</x:f>
        <x:v>0</x:v>
      </x:c>
      <x:c r="H255" s="18" t="str">
        <x:f>IF($C255="","",IFERROR(VLOOKUP($C255,Matches!$A$2:$Q$200,5,FALSE),"Unknown"))</x:f>
      </x:c>
      <x:c r="I255" s="60" t="str">
        <x:f>IF($C255="","",IFERROR(VLOOKUP($C255,Matches!$A$2:$Q$200,16,FALSE),""))</x:f>
      </x:c>
      <x:c r="J255" s="18" t="str">
        <x:f>IF($C255="","",IFERROR(VLOOKUP($C255,Matches!$A$2:$Q$200,11,FALSE),""))</x:f>
      </x:c>
      <x:c r="K255" s="18" t="str">
        <x:f>IF($C255="","",IFERROR(VLOOKUP($C255,Matches!$A$2:$Q$200,12,FALSE),""))</x:f>
      </x:c>
      <x:c r="L255" s="18" t="str">
        <x:f>IF($A255="","",IF($C255=1,"Yes",IF(OR($I255="",$A255&lt;$I255),"Yes","Late")))</x:f>
      </x:c>
      <x:c r="M255" s="66" t="str">
        <x:f>IF($A255="","",IF($L255&lt;&gt;"Yes",0,IF($E255="",0,IF($J255="",0,IF($H255="Group",IF($E255=$J255,Setup!$H$2,Setup!$H$3),IF($E255=$K255,Setup!$H$2,Setup!$H$3))))))</x:f>
      </x:c>
      <x:c r="N255" s="66" t="str">
        <x:f>IF($A255="","",IF($L255&lt;&gt;"Yes",0,IF(OR($F255="",$G255=""),0,IF(AND($F255=VLOOKUP($C255,Matches!$A$2:$Q$200,9,FALSE),$G255=VLOOKUP($C255,Matches!$A$2:$Q$200,10,FALSE)),Setup!$H$5,0))))</x:f>
      </x:c>
      <x:c r="O255" s="66" t="str">
        <x:f>IF($A255="","",$M255+$N255)</x:f>
      </x:c>
      <x:c r="P255" s="18" t="str">
        <x:f>IF($A255="","",IF($L255="Late","Late - 0 points",IF($J255="","Waiting for result",IF($O255&gt;0,"Scored",IF($O255&lt;0,"Wrong pick","No points")))))</x:f>
      </x:c>
    </x:row>
    <x:row r="256">
      <x:c r="A256" s="60" t="n">
        <x:f>'Form Responses 1'!A256</x:f>
        <x:v>0</x:v>
      </x:c>
      <x:c r="B256" s="18" t="n">
        <x:f>'Form Responses 1'!B256</x:f>
        <x:v>0</x:v>
      </x:c>
      <x:c r="C256" s="18" t="n">
        <x:f>'Form Responses 1'!C256</x:f>
        <x:v>0</x:v>
      </x:c>
      <x:c r="D256" s="18" t="n">
        <x:f>'Form Responses 1'!D256</x:f>
        <x:v>0</x:v>
      </x:c>
      <x:c r="E256" s="18" t="n">
        <x:f>'Form Responses 1'!E256</x:f>
        <x:v>0</x:v>
      </x:c>
      <x:c r="F256" s="18" t="n">
        <x:f>'Form Responses 1'!F256</x:f>
        <x:v>0</x:v>
      </x:c>
      <x:c r="G256" s="18" t="n">
        <x:f>'Form Responses 1'!G256</x:f>
        <x:v>0</x:v>
      </x:c>
      <x:c r="H256" s="18" t="str">
        <x:f>IF($C256="","",IFERROR(VLOOKUP($C256,Matches!$A$2:$Q$200,5,FALSE),"Unknown"))</x:f>
      </x:c>
      <x:c r="I256" s="60" t="str">
        <x:f>IF($C256="","",IFERROR(VLOOKUP($C256,Matches!$A$2:$Q$200,16,FALSE),""))</x:f>
      </x:c>
      <x:c r="J256" s="18" t="str">
        <x:f>IF($C256="","",IFERROR(VLOOKUP($C256,Matches!$A$2:$Q$200,11,FALSE),""))</x:f>
      </x:c>
      <x:c r="K256" s="18" t="str">
        <x:f>IF($C256="","",IFERROR(VLOOKUP($C256,Matches!$A$2:$Q$200,12,FALSE),""))</x:f>
      </x:c>
      <x:c r="L256" s="18" t="str">
        <x:f>IF($A256="","",IF($C256=1,"Yes",IF(OR($I256="",$A256&lt;$I256),"Yes","Late")))</x:f>
      </x:c>
      <x:c r="M256" s="66" t="str">
        <x:f>IF($A256="","",IF($L256&lt;&gt;"Yes",0,IF($E256="",0,IF($J256="",0,IF($H256="Group",IF($E256=$J256,Setup!$H$2,Setup!$H$3),IF($E256=$K256,Setup!$H$2,Setup!$H$3))))))</x:f>
      </x:c>
      <x:c r="N256" s="66" t="str">
        <x:f>IF($A256="","",IF($L256&lt;&gt;"Yes",0,IF(OR($F256="",$G256=""),0,IF(AND($F256=VLOOKUP($C256,Matches!$A$2:$Q$200,9,FALSE),$G256=VLOOKUP($C256,Matches!$A$2:$Q$200,10,FALSE)),Setup!$H$5,0))))</x:f>
      </x:c>
      <x:c r="O256" s="66" t="str">
        <x:f>IF($A256="","",$M256+$N256)</x:f>
      </x:c>
      <x:c r="P256" s="18" t="str">
        <x:f>IF($A256="","",IF($L256="Late","Late - 0 points",IF($J256="","Waiting for result",IF($O256&gt;0,"Scored",IF($O256&lt;0,"Wrong pick","No points")))))</x:f>
      </x:c>
    </x:row>
    <x:row r="257">
      <x:c r="A257" s="60" t="n">
        <x:f>'Form Responses 1'!A257</x:f>
        <x:v>0</x:v>
      </x:c>
      <x:c r="B257" s="18" t="n">
        <x:f>'Form Responses 1'!B257</x:f>
        <x:v>0</x:v>
      </x:c>
      <x:c r="C257" s="18" t="n">
        <x:f>'Form Responses 1'!C257</x:f>
        <x:v>0</x:v>
      </x:c>
      <x:c r="D257" s="18" t="n">
        <x:f>'Form Responses 1'!D257</x:f>
        <x:v>0</x:v>
      </x:c>
      <x:c r="E257" s="18" t="n">
        <x:f>'Form Responses 1'!E257</x:f>
        <x:v>0</x:v>
      </x:c>
      <x:c r="F257" s="18" t="n">
        <x:f>'Form Responses 1'!F257</x:f>
        <x:v>0</x:v>
      </x:c>
      <x:c r="G257" s="18" t="n">
        <x:f>'Form Responses 1'!G257</x:f>
        <x:v>0</x:v>
      </x:c>
      <x:c r="H257" s="18" t="str">
        <x:f>IF($C257="","",IFERROR(VLOOKUP($C257,Matches!$A$2:$Q$200,5,FALSE),"Unknown"))</x:f>
      </x:c>
      <x:c r="I257" s="60" t="str">
        <x:f>IF($C257="","",IFERROR(VLOOKUP($C257,Matches!$A$2:$Q$200,16,FALSE),""))</x:f>
      </x:c>
      <x:c r="J257" s="18" t="str">
        <x:f>IF($C257="","",IFERROR(VLOOKUP($C257,Matches!$A$2:$Q$200,11,FALSE),""))</x:f>
      </x:c>
      <x:c r="K257" s="18" t="str">
        <x:f>IF($C257="","",IFERROR(VLOOKUP($C257,Matches!$A$2:$Q$200,12,FALSE),""))</x:f>
      </x:c>
      <x:c r="L257" s="18" t="str">
        <x:f>IF($A257="","",IF($C257=1,"Yes",IF(OR($I257="",$A257&lt;$I257),"Yes","Late")))</x:f>
      </x:c>
      <x:c r="M257" s="66" t="str">
        <x:f>IF($A257="","",IF($L257&lt;&gt;"Yes",0,IF($E257="",0,IF($J257="",0,IF($H257="Group",IF($E257=$J257,Setup!$H$2,Setup!$H$3),IF($E257=$K257,Setup!$H$2,Setup!$H$3))))))</x:f>
      </x:c>
      <x:c r="N257" s="66" t="str">
        <x:f>IF($A257="","",IF($L257&lt;&gt;"Yes",0,IF(OR($F257="",$G257=""),0,IF(AND($F257=VLOOKUP($C257,Matches!$A$2:$Q$200,9,FALSE),$G257=VLOOKUP($C257,Matches!$A$2:$Q$200,10,FALSE)),Setup!$H$5,0))))</x:f>
      </x:c>
      <x:c r="O257" s="66" t="str">
        <x:f>IF($A257="","",$M257+$N257)</x:f>
      </x:c>
      <x:c r="P257" s="18" t="str">
        <x:f>IF($A257="","",IF($L257="Late","Late - 0 points",IF($J257="","Waiting for result",IF($O257&gt;0,"Scored",IF($O257&lt;0,"Wrong pick","No points")))))</x:f>
      </x:c>
    </x:row>
    <x:row r="258">
      <x:c r="A258" s="60" t="n">
        <x:f>'Form Responses 1'!A258</x:f>
        <x:v>0</x:v>
      </x:c>
      <x:c r="B258" s="18" t="n">
        <x:f>'Form Responses 1'!B258</x:f>
        <x:v>0</x:v>
      </x:c>
      <x:c r="C258" s="18" t="n">
        <x:f>'Form Responses 1'!C258</x:f>
        <x:v>0</x:v>
      </x:c>
      <x:c r="D258" s="18" t="n">
        <x:f>'Form Responses 1'!D258</x:f>
        <x:v>0</x:v>
      </x:c>
      <x:c r="E258" s="18" t="n">
        <x:f>'Form Responses 1'!E258</x:f>
        <x:v>0</x:v>
      </x:c>
      <x:c r="F258" s="18" t="n">
        <x:f>'Form Responses 1'!F258</x:f>
        <x:v>0</x:v>
      </x:c>
      <x:c r="G258" s="18" t="n">
        <x:f>'Form Responses 1'!G258</x:f>
        <x:v>0</x:v>
      </x:c>
      <x:c r="H258" s="18" t="str">
        <x:f>IF($C258="","",IFERROR(VLOOKUP($C258,Matches!$A$2:$Q$200,5,FALSE),"Unknown"))</x:f>
      </x:c>
      <x:c r="I258" s="60" t="str">
        <x:f>IF($C258="","",IFERROR(VLOOKUP($C258,Matches!$A$2:$Q$200,16,FALSE),""))</x:f>
      </x:c>
      <x:c r="J258" s="18" t="str">
        <x:f>IF($C258="","",IFERROR(VLOOKUP($C258,Matches!$A$2:$Q$200,11,FALSE),""))</x:f>
      </x:c>
      <x:c r="K258" s="18" t="str">
        <x:f>IF($C258="","",IFERROR(VLOOKUP($C258,Matches!$A$2:$Q$200,12,FALSE),""))</x:f>
      </x:c>
      <x:c r="L258" s="18" t="str">
        <x:f>IF($A258="","",IF($C258=1,"Yes",IF(OR($I258="",$A258&lt;$I258),"Yes","Late")))</x:f>
      </x:c>
      <x:c r="M258" s="66" t="str">
        <x:f>IF($A258="","",IF($L258&lt;&gt;"Yes",0,IF($E258="",0,IF($J258="",0,IF($H258="Group",IF($E258=$J258,Setup!$H$2,Setup!$H$3),IF($E258=$K258,Setup!$H$2,Setup!$H$3))))))</x:f>
      </x:c>
      <x:c r="N258" s="66" t="str">
        <x:f>IF($A258="","",IF($L258&lt;&gt;"Yes",0,IF(OR($F258="",$G258=""),0,IF(AND($F258=VLOOKUP($C258,Matches!$A$2:$Q$200,9,FALSE),$G258=VLOOKUP($C258,Matches!$A$2:$Q$200,10,FALSE)),Setup!$H$5,0))))</x:f>
      </x:c>
      <x:c r="O258" s="66" t="str">
        <x:f>IF($A258="","",$M258+$N258)</x:f>
      </x:c>
      <x:c r="P258" s="18" t="str">
        <x:f>IF($A258="","",IF($L258="Late","Late - 0 points",IF($J258="","Waiting for result",IF($O258&gt;0,"Scored",IF($O258&lt;0,"Wrong pick","No points")))))</x:f>
      </x:c>
    </x:row>
    <x:row r="259">
      <x:c r="A259" s="60" t="n">
        <x:f>'Form Responses 1'!A259</x:f>
        <x:v>0</x:v>
      </x:c>
      <x:c r="B259" s="18" t="n">
        <x:f>'Form Responses 1'!B259</x:f>
        <x:v>0</x:v>
      </x:c>
      <x:c r="C259" s="18" t="n">
        <x:f>'Form Responses 1'!C259</x:f>
        <x:v>0</x:v>
      </x:c>
      <x:c r="D259" s="18" t="n">
        <x:f>'Form Responses 1'!D259</x:f>
        <x:v>0</x:v>
      </x:c>
      <x:c r="E259" s="18" t="n">
        <x:f>'Form Responses 1'!E259</x:f>
        <x:v>0</x:v>
      </x:c>
      <x:c r="F259" s="18" t="n">
        <x:f>'Form Responses 1'!F259</x:f>
        <x:v>0</x:v>
      </x:c>
      <x:c r="G259" s="18" t="n">
        <x:f>'Form Responses 1'!G259</x:f>
        <x:v>0</x:v>
      </x:c>
      <x:c r="H259" s="18" t="str">
        <x:f>IF($C259="","",IFERROR(VLOOKUP($C259,Matches!$A$2:$Q$200,5,FALSE),"Unknown"))</x:f>
      </x:c>
      <x:c r="I259" s="60" t="str">
        <x:f>IF($C259="","",IFERROR(VLOOKUP($C259,Matches!$A$2:$Q$200,16,FALSE),""))</x:f>
      </x:c>
      <x:c r="J259" s="18" t="str">
        <x:f>IF($C259="","",IFERROR(VLOOKUP($C259,Matches!$A$2:$Q$200,11,FALSE),""))</x:f>
      </x:c>
      <x:c r="K259" s="18" t="str">
        <x:f>IF($C259="","",IFERROR(VLOOKUP($C259,Matches!$A$2:$Q$200,12,FALSE),""))</x:f>
      </x:c>
      <x:c r="L259" s="18" t="str">
        <x:f>IF($A259="","",IF($C259=1,"Yes",IF(OR($I259="",$A259&lt;$I259),"Yes","Late")))</x:f>
      </x:c>
      <x:c r="M259" s="66" t="str">
        <x:f>IF($A259="","",IF($L259&lt;&gt;"Yes",0,IF($E259="",0,IF($J259="",0,IF($H259="Group",IF($E259=$J259,Setup!$H$2,Setup!$H$3),IF($E259=$K259,Setup!$H$2,Setup!$H$3))))))</x:f>
      </x:c>
      <x:c r="N259" s="66" t="str">
        <x:f>IF($A259="","",IF($L259&lt;&gt;"Yes",0,IF(OR($F259="",$G259=""),0,IF(AND($F259=VLOOKUP($C259,Matches!$A$2:$Q$200,9,FALSE),$G259=VLOOKUP($C259,Matches!$A$2:$Q$200,10,FALSE)),Setup!$H$5,0))))</x:f>
      </x:c>
      <x:c r="O259" s="66" t="str">
        <x:f>IF($A259="","",$M259+$N259)</x:f>
      </x:c>
      <x:c r="P259" s="18" t="str">
        <x:f>IF($A259="","",IF($L259="Late","Late - 0 points",IF($J259="","Waiting for result",IF($O259&gt;0,"Scored",IF($O259&lt;0,"Wrong pick","No points")))))</x:f>
      </x:c>
    </x:row>
    <x:row r="260">
      <x:c r="A260" s="60" t="n">
        <x:f>'Form Responses 1'!A260</x:f>
        <x:v>0</x:v>
      </x:c>
      <x:c r="B260" s="18" t="n">
        <x:f>'Form Responses 1'!B260</x:f>
        <x:v>0</x:v>
      </x:c>
      <x:c r="C260" s="18" t="n">
        <x:f>'Form Responses 1'!C260</x:f>
        <x:v>0</x:v>
      </x:c>
      <x:c r="D260" s="18" t="n">
        <x:f>'Form Responses 1'!D260</x:f>
        <x:v>0</x:v>
      </x:c>
      <x:c r="E260" s="18" t="n">
        <x:f>'Form Responses 1'!E260</x:f>
        <x:v>0</x:v>
      </x:c>
      <x:c r="F260" s="18" t="n">
        <x:f>'Form Responses 1'!F260</x:f>
        <x:v>0</x:v>
      </x:c>
      <x:c r="G260" s="18" t="n">
        <x:f>'Form Responses 1'!G260</x:f>
        <x:v>0</x:v>
      </x:c>
      <x:c r="H260" s="18" t="str">
        <x:f>IF($C260="","",IFERROR(VLOOKUP($C260,Matches!$A$2:$Q$200,5,FALSE),"Unknown"))</x:f>
      </x:c>
      <x:c r="I260" s="60" t="str">
        <x:f>IF($C260="","",IFERROR(VLOOKUP($C260,Matches!$A$2:$Q$200,16,FALSE),""))</x:f>
      </x:c>
      <x:c r="J260" s="18" t="str">
        <x:f>IF($C260="","",IFERROR(VLOOKUP($C260,Matches!$A$2:$Q$200,11,FALSE),""))</x:f>
      </x:c>
      <x:c r="K260" s="18" t="str">
        <x:f>IF($C260="","",IFERROR(VLOOKUP($C260,Matches!$A$2:$Q$200,12,FALSE),""))</x:f>
      </x:c>
      <x:c r="L260" s="18" t="str">
        <x:f>IF($A260="","",IF($C260=1,"Yes",IF(OR($I260="",$A260&lt;$I260),"Yes","Late")))</x:f>
      </x:c>
      <x:c r="M260" s="66" t="str">
        <x:f>IF($A260="","",IF($L260&lt;&gt;"Yes",0,IF($E260="",0,IF($J260="",0,IF($H260="Group",IF($E260=$J260,Setup!$H$2,Setup!$H$3),IF($E260=$K260,Setup!$H$2,Setup!$H$3))))))</x:f>
      </x:c>
      <x:c r="N260" s="66" t="str">
        <x:f>IF($A260="","",IF($L260&lt;&gt;"Yes",0,IF(OR($F260="",$G260=""),0,IF(AND($F260=VLOOKUP($C260,Matches!$A$2:$Q$200,9,FALSE),$G260=VLOOKUP($C260,Matches!$A$2:$Q$200,10,FALSE)),Setup!$H$5,0))))</x:f>
      </x:c>
      <x:c r="O260" s="66" t="str">
        <x:f>IF($A260="","",$M260+$N260)</x:f>
      </x:c>
      <x:c r="P260" s="18" t="str">
        <x:f>IF($A260="","",IF($L260="Late","Late - 0 points",IF($J260="","Waiting for result",IF($O260&gt;0,"Scored",IF($O260&lt;0,"Wrong pick","No points")))))</x:f>
      </x:c>
    </x:row>
    <x:row r="261">
      <x:c r="A261" s="60" t="n">
        <x:f>'Form Responses 1'!A261</x:f>
        <x:v>0</x:v>
      </x:c>
      <x:c r="B261" s="18" t="n">
        <x:f>'Form Responses 1'!B261</x:f>
        <x:v>0</x:v>
      </x:c>
      <x:c r="C261" s="18" t="n">
        <x:f>'Form Responses 1'!C261</x:f>
        <x:v>0</x:v>
      </x:c>
      <x:c r="D261" s="18" t="n">
        <x:f>'Form Responses 1'!D261</x:f>
        <x:v>0</x:v>
      </x:c>
      <x:c r="E261" s="18" t="n">
        <x:f>'Form Responses 1'!E261</x:f>
        <x:v>0</x:v>
      </x:c>
      <x:c r="F261" s="18" t="n">
        <x:f>'Form Responses 1'!F261</x:f>
        <x:v>0</x:v>
      </x:c>
      <x:c r="G261" s="18" t="n">
        <x:f>'Form Responses 1'!G261</x:f>
        <x:v>0</x:v>
      </x:c>
      <x:c r="H261" s="18" t="str">
        <x:f>IF($C261="","",IFERROR(VLOOKUP($C261,Matches!$A$2:$Q$200,5,FALSE),"Unknown"))</x:f>
      </x:c>
      <x:c r="I261" s="60" t="str">
        <x:f>IF($C261="","",IFERROR(VLOOKUP($C261,Matches!$A$2:$Q$200,16,FALSE),""))</x:f>
      </x:c>
      <x:c r="J261" s="18" t="str">
        <x:f>IF($C261="","",IFERROR(VLOOKUP($C261,Matches!$A$2:$Q$200,11,FALSE),""))</x:f>
      </x:c>
      <x:c r="K261" s="18" t="str">
        <x:f>IF($C261="","",IFERROR(VLOOKUP($C261,Matches!$A$2:$Q$200,12,FALSE),""))</x:f>
      </x:c>
      <x:c r="L261" s="18" t="str">
        <x:f>IF($A261="","",IF($C261=1,"Yes",IF(OR($I261="",$A261&lt;$I261),"Yes","Late")))</x:f>
      </x:c>
      <x:c r="M261" s="66" t="str">
        <x:f>IF($A261="","",IF($L261&lt;&gt;"Yes",0,IF($E261="",0,IF($J261="",0,IF($H261="Group",IF($E261=$J261,Setup!$H$2,Setup!$H$3),IF($E261=$K261,Setup!$H$2,Setup!$H$3))))))</x:f>
      </x:c>
      <x:c r="N261" s="66" t="str">
        <x:f>IF($A261="","",IF($L261&lt;&gt;"Yes",0,IF(OR($F261="",$G261=""),0,IF(AND($F261=VLOOKUP($C261,Matches!$A$2:$Q$200,9,FALSE),$G261=VLOOKUP($C261,Matches!$A$2:$Q$200,10,FALSE)),Setup!$H$5,0))))</x:f>
      </x:c>
      <x:c r="O261" s="66" t="str">
        <x:f>IF($A261="","",$M261+$N261)</x:f>
      </x:c>
      <x:c r="P261" s="18" t="str">
        <x:f>IF($A261="","",IF($L261="Late","Late - 0 points",IF($J261="","Waiting for result",IF($O261&gt;0,"Scored",IF($O261&lt;0,"Wrong pick","No points")))))</x:f>
      </x:c>
    </x:row>
    <x:row r="262">
      <x:c r="A262" s="60" t="n">
        <x:f>'Form Responses 1'!A262</x:f>
        <x:v>0</x:v>
      </x:c>
      <x:c r="B262" s="18" t="n">
        <x:f>'Form Responses 1'!B262</x:f>
        <x:v>0</x:v>
      </x:c>
      <x:c r="C262" s="18" t="n">
        <x:f>'Form Responses 1'!C262</x:f>
        <x:v>0</x:v>
      </x:c>
      <x:c r="D262" s="18" t="n">
        <x:f>'Form Responses 1'!D262</x:f>
        <x:v>0</x:v>
      </x:c>
      <x:c r="E262" s="18" t="n">
        <x:f>'Form Responses 1'!E262</x:f>
        <x:v>0</x:v>
      </x:c>
      <x:c r="F262" s="18" t="n">
        <x:f>'Form Responses 1'!F262</x:f>
        <x:v>0</x:v>
      </x:c>
      <x:c r="G262" s="18" t="n">
        <x:f>'Form Responses 1'!G262</x:f>
        <x:v>0</x:v>
      </x:c>
      <x:c r="H262" s="18" t="str">
        <x:f>IF($C262="","",IFERROR(VLOOKUP($C262,Matches!$A$2:$Q$200,5,FALSE),"Unknown"))</x:f>
      </x:c>
      <x:c r="I262" s="60" t="str">
        <x:f>IF($C262="","",IFERROR(VLOOKUP($C262,Matches!$A$2:$Q$200,16,FALSE),""))</x:f>
      </x:c>
      <x:c r="J262" s="18" t="str">
        <x:f>IF($C262="","",IFERROR(VLOOKUP($C262,Matches!$A$2:$Q$200,11,FALSE),""))</x:f>
      </x:c>
      <x:c r="K262" s="18" t="str">
        <x:f>IF($C262="","",IFERROR(VLOOKUP($C262,Matches!$A$2:$Q$200,12,FALSE),""))</x:f>
      </x:c>
      <x:c r="L262" s="18" t="str">
        <x:f>IF($A262="","",IF($C262=1,"Yes",IF(OR($I262="",$A262&lt;$I262),"Yes","Late")))</x:f>
      </x:c>
      <x:c r="M262" s="66" t="str">
        <x:f>IF($A262="","",IF($L262&lt;&gt;"Yes",0,IF($E262="",0,IF($J262="",0,IF($H262="Group",IF($E262=$J262,Setup!$H$2,Setup!$H$3),IF($E262=$K262,Setup!$H$2,Setup!$H$3))))))</x:f>
      </x:c>
      <x:c r="N262" s="66" t="str">
        <x:f>IF($A262="","",IF($L262&lt;&gt;"Yes",0,IF(OR($F262="",$G262=""),0,IF(AND($F262=VLOOKUP($C262,Matches!$A$2:$Q$200,9,FALSE),$G262=VLOOKUP($C262,Matches!$A$2:$Q$200,10,FALSE)),Setup!$H$5,0))))</x:f>
      </x:c>
      <x:c r="O262" s="66" t="str">
        <x:f>IF($A262="","",$M262+$N262)</x:f>
      </x:c>
      <x:c r="P262" s="18" t="str">
        <x:f>IF($A262="","",IF($L262="Late","Late - 0 points",IF($J262="","Waiting for result",IF($O262&gt;0,"Scored",IF($O262&lt;0,"Wrong pick","No points")))))</x:f>
      </x:c>
    </x:row>
    <x:row r="263">
      <x:c r="A263" s="60" t="n">
        <x:f>'Form Responses 1'!A263</x:f>
        <x:v>0</x:v>
      </x:c>
      <x:c r="B263" s="18" t="n">
        <x:f>'Form Responses 1'!B263</x:f>
        <x:v>0</x:v>
      </x:c>
      <x:c r="C263" s="18" t="n">
        <x:f>'Form Responses 1'!C263</x:f>
        <x:v>0</x:v>
      </x:c>
      <x:c r="D263" s="18" t="n">
        <x:f>'Form Responses 1'!D263</x:f>
        <x:v>0</x:v>
      </x:c>
      <x:c r="E263" s="18" t="n">
        <x:f>'Form Responses 1'!E263</x:f>
        <x:v>0</x:v>
      </x:c>
      <x:c r="F263" s="18" t="n">
        <x:f>'Form Responses 1'!F263</x:f>
        <x:v>0</x:v>
      </x:c>
      <x:c r="G263" s="18" t="n">
        <x:f>'Form Responses 1'!G263</x:f>
        <x:v>0</x:v>
      </x:c>
      <x:c r="H263" s="18" t="str">
        <x:f>IF($C263="","",IFERROR(VLOOKUP($C263,Matches!$A$2:$Q$200,5,FALSE),"Unknown"))</x:f>
      </x:c>
      <x:c r="I263" s="60" t="str">
        <x:f>IF($C263="","",IFERROR(VLOOKUP($C263,Matches!$A$2:$Q$200,16,FALSE),""))</x:f>
      </x:c>
      <x:c r="J263" s="18" t="str">
        <x:f>IF($C263="","",IFERROR(VLOOKUP($C263,Matches!$A$2:$Q$200,11,FALSE),""))</x:f>
      </x:c>
      <x:c r="K263" s="18" t="str">
        <x:f>IF($C263="","",IFERROR(VLOOKUP($C263,Matches!$A$2:$Q$200,12,FALSE),""))</x:f>
      </x:c>
      <x:c r="L263" s="18" t="str">
        <x:f>IF($A263="","",IF($C263=1,"Yes",IF(OR($I263="",$A263&lt;$I263),"Yes","Late")))</x:f>
      </x:c>
      <x:c r="M263" s="66" t="str">
        <x:f>IF($A263="","",IF($L263&lt;&gt;"Yes",0,IF($E263="",0,IF($J263="",0,IF($H263="Group",IF($E263=$J263,Setup!$H$2,Setup!$H$3),IF($E263=$K263,Setup!$H$2,Setup!$H$3))))))</x:f>
      </x:c>
      <x:c r="N263" s="66" t="str">
        <x:f>IF($A263="","",IF($L263&lt;&gt;"Yes",0,IF(OR($F263="",$G263=""),0,IF(AND($F263=VLOOKUP($C263,Matches!$A$2:$Q$200,9,FALSE),$G263=VLOOKUP($C263,Matches!$A$2:$Q$200,10,FALSE)),Setup!$H$5,0))))</x:f>
      </x:c>
      <x:c r="O263" s="66" t="str">
        <x:f>IF($A263="","",$M263+$N263)</x:f>
      </x:c>
      <x:c r="P263" s="18" t="str">
        <x:f>IF($A263="","",IF($L263="Late","Late - 0 points",IF($J263="","Waiting for result",IF($O263&gt;0,"Scored",IF($O263&lt;0,"Wrong pick","No points")))))</x:f>
      </x:c>
    </x:row>
    <x:row r="264">
      <x:c r="A264" s="60" t="n">
        <x:f>'Form Responses 1'!A264</x:f>
        <x:v>0</x:v>
      </x:c>
      <x:c r="B264" s="18" t="n">
        <x:f>'Form Responses 1'!B264</x:f>
        <x:v>0</x:v>
      </x:c>
      <x:c r="C264" s="18" t="n">
        <x:f>'Form Responses 1'!C264</x:f>
        <x:v>0</x:v>
      </x:c>
      <x:c r="D264" s="18" t="n">
        <x:f>'Form Responses 1'!D264</x:f>
        <x:v>0</x:v>
      </x:c>
      <x:c r="E264" s="18" t="n">
        <x:f>'Form Responses 1'!E264</x:f>
        <x:v>0</x:v>
      </x:c>
      <x:c r="F264" s="18" t="n">
        <x:f>'Form Responses 1'!F264</x:f>
        <x:v>0</x:v>
      </x:c>
      <x:c r="G264" s="18" t="n">
        <x:f>'Form Responses 1'!G264</x:f>
        <x:v>0</x:v>
      </x:c>
      <x:c r="H264" s="18" t="str">
        <x:f>IF($C264="","",IFERROR(VLOOKUP($C264,Matches!$A$2:$Q$200,5,FALSE),"Unknown"))</x:f>
      </x:c>
      <x:c r="I264" s="60" t="str">
        <x:f>IF($C264="","",IFERROR(VLOOKUP($C264,Matches!$A$2:$Q$200,16,FALSE),""))</x:f>
      </x:c>
      <x:c r="J264" s="18" t="str">
        <x:f>IF($C264="","",IFERROR(VLOOKUP($C264,Matches!$A$2:$Q$200,11,FALSE),""))</x:f>
      </x:c>
      <x:c r="K264" s="18" t="str">
        <x:f>IF($C264="","",IFERROR(VLOOKUP($C264,Matches!$A$2:$Q$200,12,FALSE),""))</x:f>
      </x:c>
      <x:c r="L264" s="18" t="str">
        <x:f>IF($A264="","",IF($C264=1,"Yes",IF(OR($I264="",$A264&lt;$I264),"Yes","Late")))</x:f>
      </x:c>
      <x:c r="M264" s="66" t="str">
        <x:f>IF($A264="","",IF($L264&lt;&gt;"Yes",0,IF($E264="",0,IF($J264="",0,IF($H264="Group",IF($E264=$J264,Setup!$H$2,Setup!$H$3),IF($E264=$K264,Setup!$H$2,Setup!$H$3))))))</x:f>
      </x:c>
      <x:c r="N264" s="66" t="str">
        <x:f>IF($A264="","",IF($L264&lt;&gt;"Yes",0,IF(OR($F264="",$G264=""),0,IF(AND($F264=VLOOKUP($C264,Matches!$A$2:$Q$200,9,FALSE),$G264=VLOOKUP($C264,Matches!$A$2:$Q$200,10,FALSE)),Setup!$H$5,0))))</x:f>
      </x:c>
      <x:c r="O264" s="66" t="str">
        <x:f>IF($A264="","",$M264+$N264)</x:f>
      </x:c>
      <x:c r="P264" s="18" t="str">
        <x:f>IF($A264="","",IF($L264="Late","Late - 0 points",IF($J264="","Waiting for result",IF($O264&gt;0,"Scored",IF($O264&lt;0,"Wrong pick","No points")))))</x:f>
      </x:c>
    </x:row>
    <x:row r="265">
      <x:c r="A265" s="60" t="n">
        <x:f>'Form Responses 1'!A265</x:f>
        <x:v>0</x:v>
      </x:c>
      <x:c r="B265" s="18" t="n">
        <x:f>'Form Responses 1'!B265</x:f>
        <x:v>0</x:v>
      </x:c>
      <x:c r="C265" s="18" t="n">
        <x:f>'Form Responses 1'!C265</x:f>
        <x:v>0</x:v>
      </x:c>
      <x:c r="D265" s="18" t="n">
        <x:f>'Form Responses 1'!D265</x:f>
        <x:v>0</x:v>
      </x:c>
      <x:c r="E265" s="18" t="n">
        <x:f>'Form Responses 1'!E265</x:f>
        <x:v>0</x:v>
      </x:c>
      <x:c r="F265" s="18" t="n">
        <x:f>'Form Responses 1'!F265</x:f>
        <x:v>0</x:v>
      </x:c>
      <x:c r="G265" s="18" t="n">
        <x:f>'Form Responses 1'!G265</x:f>
        <x:v>0</x:v>
      </x:c>
      <x:c r="H265" s="18" t="str">
        <x:f>IF($C265="","",IFERROR(VLOOKUP($C265,Matches!$A$2:$Q$200,5,FALSE),"Unknown"))</x:f>
      </x:c>
      <x:c r="I265" s="60" t="str">
        <x:f>IF($C265="","",IFERROR(VLOOKUP($C265,Matches!$A$2:$Q$200,16,FALSE),""))</x:f>
      </x:c>
      <x:c r="J265" s="18" t="str">
        <x:f>IF($C265="","",IFERROR(VLOOKUP($C265,Matches!$A$2:$Q$200,11,FALSE),""))</x:f>
      </x:c>
      <x:c r="K265" s="18" t="str">
        <x:f>IF($C265="","",IFERROR(VLOOKUP($C265,Matches!$A$2:$Q$200,12,FALSE),""))</x:f>
      </x:c>
      <x:c r="L265" s="18" t="str">
        <x:f>IF($A265="","",IF($C265=1,"Yes",IF(OR($I265="",$A265&lt;$I265),"Yes","Late")))</x:f>
      </x:c>
      <x:c r="M265" s="66" t="str">
        <x:f>IF($A265="","",IF($L265&lt;&gt;"Yes",0,IF($E265="",0,IF($J265="",0,IF($H265="Group",IF($E265=$J265,Setup!$H$2,Setup!$H$3),IF($E265=$K265,Setup!$H$2,Setup!$H$3))))))</x:f>
      </x:c>
      <x:c r="N265" s="66" t="str">
        <x:f>IF($A265="","",IF($L265&lt;&gt;"Yes",0,IF(OR($F265="",$G265=""),0,IF(AND($F265=VLOOKUP($C265,Matches!$A$2:$Q$200,9,FALSE),$G265=VLOOKUP($C265,Matches!$A$2:$Q$200,10,FALSE)),Setup!$H$5,0))))</x:f>
      </x:c>
      <x:c r="O265" s="66" t="str">
        <x:f>IF($A265="","",$M265+$N265)</x:f>
      </x:c>
      <x:c r="P265" s="18" t="str">
        <x:f>IF($A265="","",IF($L265="Late","Late - 0 points",IF($J265="","Waiting for result",IF($O265&gt;0,"Scored",IF($O265&lt;0,"Wrong pick","No points")))))</x:f>
      </x:c>
    </x:row>
    <x:row r="266">
      <x:c r="A266" s="60" t="n">
        <x:f>'Form Responses 1'!A266</x:f>
        <x:v>0</x:v>
      </x:c>
      <x:c r="B266" s="18" t="n">
        <x:f>'Form Responses 1'!B266</x:f>
        <x:v>0</x:v>
      </x:c>
      <x:c r="C266" s="18" t="n">
        <x:f>'Form Responses 1'!C266</x:f>
        <x:v>0</x:v>
      </x:c>
      <x:c r="D266" s="18" t="n">
        <x:f>'Form Responses 1'!D266</x:f>
        <x:v>0</x:v>
      </x:c>
      <x:c r="E266" s="18" t="n">
        <x:f>'Form Responses 1'!E266</x:f>
        <x:v>0</x:v>
      </x:c>
      <x:c r="F266" s="18" t="n">
        <x:f>'Form Responses 1'!F266</x:f>
        <x:v>0</x:v>
      </x:c>
      <x:c r="G266" s="18" t="n">
        <x:f>'Form Responses 1'!G266</x:f>
        <x:v>0</x:v>
      </x:c>
      <x:c r="H266" s="18" t="str">
        <x:f>IF($C266="","",IFERROR(VLOOKUP($C266,Matches!$A$2:$Q$200,5,FALSE),"Unknown"))</x:f>
      </x:c>
      <x:c r="I266" s="60" t="str">
        <x:f>IF($C266="","",IFERROR(VLOOKUP($C266,Matches!$A$2:$Q$200,16,FALSE),""))</x:f>
      </x:c>
      <x:c r="J266" s="18" t="str">
        <x:f>IF($C266="","",IFERROR(VLOOKUP($C266,Matches!$A$2:$Q$200,11,FALSE),""))</x:f>
      </x:c>
      <x:c r="K266" s="18" t="str">
        <x:f>IF($C266="","",IFERROR(VLOOKUP($C266,Matches!$A$2:$Q$200,12,FALSE),""))</x:f>
      </x:c>
      <x:c r="L266" s="18" t="str">
        <x:f>IF($A266="","",IF($C266=1,"Yes",IF(OR($I266="",$A266&lt;$I266),"Yes","Late")))</x:f>
      </x:c>
      <x:c r="M266" s="66" t="str">
        <x:f>IF($A266="","",IF($L266&lt;&gt;"Yes",0,IF($E266="",0,IF($J266="",0,IF($H266="Group",IF($E266=$J266,Setup!$H$2,Setup!$H$3),IF($E266=$K266,Setup!$H$2,Setup!$H$3))))))</x:f>
      </x:c>
      <x:c r="N266" s="66" t="str">
        <x:f>IF($A266="","",IF($L266&lt;&gt;"Yes",0,IF(OR($F266="",$G266=""),0,IF(AND($F266=VLOOKUP($C266,Matches!$A$2:$Q$200,9,FALSE),$G266=VLOOKUP($C266,Matches!$A$2:$Q$200,10,FALSE)),Setup!$H$5,0))))</x:f>
      </x:c>
      <x:c r="O266" s="66" t="str">
        <x:f>IF($A266="","",$M266+$N266)</x:f>
      </x:c>
      <x:c r="P266" s="18" t="str">
        <x:f>IF($A266="","",IF($L266="Late","Late - 0 points",IF($J266="","Waiting for result",IF($O266&gt;0,"Scored",IF($O266&lt;0,"Wrong pick","No points")))))</x:f>
      </x:c>
    </x:row>
    <x:row r="267">
      <x:c r="A267" s="60" t="n">
        <x:f>'Form Responses 1'!A267</x:f>
        <x:v>0</x:v>
      </x:c>
      <x:c r="B267" s="18" t="n">
        <x:f>'Form Responses 1'!B267</x:f>
        <x:v>0</x:v>
      </x:c>
      <x:c r="C267" s="18" t="n">
        <x:f>'Form Responses 1'!C267</x:f>
        <x:v>0</x:v>
      </x:c>
      <x:c r="D267" s="18" t="n">
        <x:f>'Form Responses 1'!D267</x:f>
        <x:v>0</x:v>
      </x:c>
      <x:c r="E267" s="18" t="n">
        <x:f>'Form Responses 1'!E267</x:f>
        <x:v>0</x:v>
      </x:c>
      <x:c r="F267" s="18" t="n">
        <x:f>'Form Responses 1'!F267</x:f>
        <x:v>0</x:v>
      </x:c>
      <x:c r="G267" s="18" t="n">
        <x:f>'Form Responses 1'!G267</x:f>
        <x:v>0</x:v>
      </x:c>
      <x:c r="H267" s="18" t="str">
        <x:f>IF($C267="","",IFERROR(VLOOKUP($C267,Matches!$A$2:$Q$200,5,FALSE),"Unknown"))</x:f>
      </x:c>
      <x:c r="I267" s="60" t="str">
        <x:f>IF($C267="","",IFERROR(VLOOKUP($C267,Matches!$A$2:$Q$200,16,FALSE),""))</x:f>
      </x:c>
      <x:c r="J267" s="18" t="str">
        <x:f>IF($C267="","",IFERROR(VLOOKUP($C267,Matches!$A$2:$Q$200,11,FALSE),""))</x:f>
      </x:c>
      <x:c r="K267" s="18" t="str">
        <x:f>IF($C267="","",IFERROR(VLOOKUP($C267,Matches!$A$2:$Q$200,12,FALSE),""))</x:f>
      </x:c>
      <x:c r="L267" s="18" t="str">
        <x:f>IF($A267="","",IF($C267=1,"Yes",IF(OR($I267="",$A267&lt;$I267),"Yes","Late")))</x:f>
      </x:c>
      <x:c r="M267" s="66" t="str">
        <x:f>IF($A267="","",IF($L267&lt;&gt;"Yes",0,IF($E267="",0,IF($J267="",0,IF($H267="Group",IF($E267=$J267,Setup!$H$2,Setup!$H$3),IF($E267=$K267,Setup!$H$2,Setup!$H$3))))))</x:f>
      </x:c>
      <x:c r="N267" s="66" t="str">
        <x:f>IF($A267="","",IF($L267&lt;&gt;"Yes",0,IF(OR($F267="",$G267=""),0,IF(AND($F267=VLOOKUP($C267,Matches!$A$2:$Q$200,9,FALSE),$G267=VLOOKUP($C267,Matches!$A$2:$Q$200,10,FALSE)),Setup!$H$5,0))))</x:f>
      </x:c>
      <x:c r="O267" s="66" t="str">
        <x:f>IF($A267="","",$M267+$N267)</x:f>
      </x:c>
      <x:c r="P267" s="18" t="str">
        <x:f>IF($A267="","",IF($L267="Late","Late - 0 points",IF($J267="","Waiting for result",IF($O267&gt;0,"Scored",IF($O267&lt;0,"Wrong pick","No points")))))</x:f>
      </x:c>
    </x:row>
    <x:row r="268">
      <x:c r="A268" s="60" t="n">
        <x:f>'Form Responses 1'!A268</x:f>
        <x:v>0</x:v>
      </x:c>
      <x:c r="B268" s="18" t="n">
        <x:f>'Form Responses 1'!B268</x:f>
        <x:v>0</x:v>
      </x:c>
      <x:c r="C268" s="18" t="n">
        <x:f>'Form Responses 1'!C268</x:f>
        <x:v>0</x:v>
      </x:c>
      <x:c r="D268" s="18" t="n">
        <x:f>'Form Responses 1'!D268</x:f>
        <x:v>0</x:v>
      </x:c>
      <x:c r="E268" s="18" t="n">
        <x:f>'Form Responses 1'!E268</x:f>
        <x:v>0</x:v>
      </x:c>
      <x:c r="F268" s="18" t="n">
        <x:f>'Form Responses 1'!F268</x:f>
        <x:v>0</x:v>
      </x:c>
      <x:c r="G268" s="18" t="n">
        <x:f>'Form Responses 1'!G268</x:f>
        <x:v>0</x:v>
      </x:c>
      <x:c r="H268" s="18" t="str">
        <x:f>IF($C268="","",IFERROR(VLOOKUP($C268,Matches!$A$2:$Q$200,5,FALSE),"Unknown"))</x:f>
      </x:c>
      <x:c r="I268" s="60" t="str">
        <x:f>IF($C268="","",IFERROR(VLOOKUP($C268,Matches!$A$2:$Q$200,16,FALSE),""))</x:f>
      </x:c>
      <x:c r="J268" s="18" t="str">
        <x:f>IF($C268="","",IFERROR(VLOOKUP($C268,Matches!$A$2:$Q$200,11,FALSE),""))</x:f>
      </x:c>
      <x:c r="K268" s="18" t="str">
        <x:f>IF($C268="","",IFERROR(VLOOKUP($C268,Matches!$A$2:$Q$200,12,FALSE),""))</x:f>
      </x:c>
      <x:c r="L268" s="18" t="str">
        <x:f>IF($A268="","",IF($C268=1,"Yes",IF(OR($I268="",$A268&lt;$I268),"Yes","Late")))</x:f>
      </x:c>
      <x:c r="M268" s="66" t="str">
        <x:f>IF($A268="","",IF($L268&lt;&gt;"Yes",0,IF($E268="",0,IF($J268="",0,IF($H268="Group",IF($E268=$J268,Setup!$H$2,Setup!$H$3),IF($E268=$K268,Setup!$H$2,Setup!$H$3))))))</x:f>
      </x:c>
      <x:c r="N268" s="66" t="str">
        <x:f>IF($A268="","",IF($L268&lt;&gt;"Yes",0,IF(OR($F268="",$G268=""),0,IF(AND($F268=VLOOKUP($C268,Matches!$A$2:$Q$200,9,FALSE),$G268=VLOOKUP($C268,Matches!$A$2:$Q$200,10,FALSE)),Setup!$H$5,0))))</x:f>
      </x:c>
      <x:c r="O268" s="66" t="str">
        <x:f>IF($A268="","",$M268+$N268)</x:f>
      </x:c>
      <x:c r="P268" s="18" t="str">
        <x:f>IF($A268="","",IF($L268="Late","Late - 0 points",IF($J268="","Waiting for result",IF($O268&gt;0,"Scored",IF($O268&lt;0,"Wrong pick","No points")))))</x:f>
      </x:c>
    </x:row>
    <x:row r="269">
      <x:c r="A269" s="60" t="n">
        <x:f>'Form Responses 1'!A269</x:f>
        <x:v>0</x:v>
      </x:c>
      <x:c r="B269" s="18" t="n">
        <x:f>'Form Responses 1'!B269</x:f>
        <x:v>0</x:v>
      </x:c>
      <x:c r="C269" s="18" t="n">
        <x:f>'Form Responses 1'!C269</x:f>
        <x:v>0</x:v>
      </x:c>
      <x:c r="D269" s="18" t="n">
        <x:f>'Form Responses 1'!D269</x:f>
        <x:v>0</x:v>
      </x:c>
      <x:c r="E269" s="18" t="n">
        <x:f>'Form Responses 1'!E269</x:f>
        <x:v>0</x:v>
      </x:c>
      <x:c r="F269" s="18" t="n">
        <x:f>'Form Responses 1'!F269</x:f>
        <x:v>0</x:v>
      </x:c>
      <x:c r="G269" s="18" t="n">
        <x:f>'Form Responses 1'!G269</x:f>
        <x:v>0</x:v>
      </x:c>
      <x:c r="H269" s="18" t="str">
        <x:f>IF($C269="","",IFERROR(VLOOKUP($C269,Matches!$A$2:$Q$200,5,FALSE),"Unknown"))</x:f>
      </x:c>
      <x:c r="I269" s="60" t="str">
        <x:f>IF($C269="","",IFERROR(VLOOKUP($C269,Matches!$A$2:$Q$200,16,FALSE),""))</x:f>
      </x:c>
      <x:c r="J269" s="18" t="str">
        <x:f>IF($C269="","",IFERROR(VLOOKUP($C269,Matches!$A$2:$Q$200,11,FALSE),""))</x:f>
      </x:c>
      <x:c r="K269" s="18" t="str">
        <x:f>IF($C269="","",IFERROR(VLOOKUP($C269,Matches!$A$2:$Q$200,12,FALSE),""))</x:f>
      </x:c>
      <x:c r="L269" s="18" t="str">
        <x:f>IF($A269="","",IF($C269=1,"Yes",IF(OR($I269="",$A269&lt;$I269),"Yes","Late")))</x:f>
      </x:c>
      <x:c r="M269" s="66" t="str">
        <x:f>IF($A269="","",IF($L269&lt;&gt;"Yes",0,IF($E269="",0,IF($J269="",0,IF($H269="Group",IF($E269=$J269,Setup!$H$2,Setup!$H$3),IF($E269=$K269,Setup!$H$2,Setup!$H$3))))))</x:f>
      </x:c>
      <x:c r="N269" s="66" t="str">
        <x:f>IF($A269="","",IF($L269&lt;&gt;"Yes",0,IF(OR($F269="",$G269=""),0,IF(AND($F269=VLOOKUP($C269,Matches!$A$2:$Q$200,9,FALSE),$G269=VLOOKUP($C269,Matches!$A$2:$Q$200,10,FALSE)),Setup!$H$5,0))))</x:f>
      </x:c>
      <x:c r="O269" s="66" t="str">
        <x:f>IF($A269="","",$M269+$N269)</x:f>
      </x:c>
      <x:c r="P269" s="18" t="str">
        <x:f>IF($A269="","",IF($L269="Late","Late - 0 points",IF($J269="","Waiting for result",IF($O269&gt;0,"Scored",IF($O269&lt;0,"Wrong pick","No points")))))</x:f>
      </x:c>
    </x:row>
    <x:row r="270">
      <x:c r="A270" s="60" t="n">
        <x:f>'Form Responses 1'!A270</x:f>
        <x:v>0</x:v>
      </x:c>
      <x:c r="B270" s="18" t="n">
        <x:f>'Form Responses 1'!B270</x:f>
        <x:v>0</x:v>
      </x:c>
      <x:c r="C270" s="18" t="n">
        <x:f>'Form Responses 1'!C270</x:f>
        <x:v>0</x:v>
      </x:c>
      <x:c r="D270" s="18" t="n">
        <x:f>'Form Responses 1'!D270</x:f>
        <x:v>0</x:v>
      </x:c>
      <x:c r="E270" s="18" t="n">
        <x:f>'Form Responses 1'!E270</x:f>
        <x:v>0</x:v>
      </x:c>
      <x:c r="F270" s="18" t="n">
        <x:f>'Form Responses 1'!F270</x:f>
        <x:v>0</x:v>
      </x:c>
      <x:c r="G270" s="18" t="n">
        <x:f>'Form Responses 1'!G270</x:f>
        <x:v>0</x:v>
      </x:c>
      <x:c r="H270" s="18" t="str">
        <x:f>IF($C270="","",IFERROR(VLOOKUP($C270,Matches!$A$2:$Q$200,5,FALSE),"Unknown"))</x:f>
      </x:c>
      <x:c r="I270" s="60" t="str">
        <x:f>IF($C270="","",IFERROR(VLOOKUP($C270,Matches!$A$2:$Q$200,16,FALSE),""))</x:f>
      </x:c>
      <x:c r="J270" s="18" t="str">
        <x:f>IF($C270="","",IFERROR(VLOOKUP($C270,Matches!$A$2:$Q$200,11,FALSE),""))</x:f>
      </x:c>
      <x:c r="K270" s="18" t="str">
        <x:f>IF($C270="","",IFERROR(VLOOKUP($C270,Matches!$A$2:$Q$200,12,FALSE),""))</x:f>
      </x:c>
      <x:c r="L270" s="18" t="str">
        <x:f>IF($A270="","",IF($C270=1,"Yes",IF(OR($I270="",$A270&lt;$I270),"Yes","Late")))</x:f>
      </x:c>
      <x:c r="M270" s="66" t="str">
        <x:f>IF($A270="","",IF($L270&lt;&gt;"Yes",0,IF($E270="",0,IF($J270="",0,IF($H270="Group",IF($E270=$J270,Setup!$H$2,Setup!$H$3),IF($E270=$K270,Setup!$H$2,Setup!$H$3))))))</x:f>
      </x:c>
      <x:c r="N270" s="66" t="str">
        <x:f>IF($A270="","",IF($L270&lt;&gt;"Yes",0,IF(OR($F270="",$G270=""),0,IF(AND($F270=VLOOKUP($C270,Matches!$A$2:$Q$200,9,FALSE),$G270=VLOOKUP($C270,Matches!$A$2:$Q$200,10,FALSE)),Setup!$H$5,0))))</x:f>
      </x:c>
      <x:c r="O270" s="66" t="str">
        <x:f>IF($A270="","",$M270+$N270)</x:f>
      </x:c>
      <x:c r="P270" s="18" t="str">
        <x:f>IF($A270="","",IF($L270="Late","Late - 0 points",IF($J270="","Waiting for result",IF($O270&gt;0,"Scored",IF($O270&lt;0,"Wrong pick","No points")))))</x:f>
      </x:c>
    </x:row>
    <x:row r="271">
      <x:c r="A271" s="60" t="n">
        <x:f>'Form Responses 1'!A271</x:f>
        <x:v>0</x:v>
      </x:c>
      <x:c r="B271" s="18" t="n">
        <x:f>'Form Responses 1'!B271</x:f>
        <x:v>0</x:v>
      </x:c>
      <x:c r="C271" s="18" t="n">
        <x:f>'Form Responses 1'!C271</x:f>
        <x:v>0</x:v>
      </x:c>
      <x:c r="D271" s="18" t="n">
        <x:f>'Form Responses 1'!D271</x:f>
        <x:v>0</x:v>
      </x:c>
      <x:c r="E271" s="18" t="n">
        <x:f>'Form Responses 1'!E271</x:f>
        <x:v>0</x:v>
      </x:c>
      <x:c r="F271" s="18" t="n">
        <x:f>'Form Responses 1'!F271</x:f>
        <x:v>0</x:v>
      </x:c>
      <x:c r="G271" s="18" t="n">
        <x:f>'Form Responses 1'!G271</x:f>
        <x:v>0</x:v>
      </x:c>
      <x:c r="H271" s="18" t="str">
        <x:f>IF($C271="","",IFERROR(VLOOKUP($C271,Matches!$A$2:$Q$200,5,FALSE),"Unknown"))</x:f>
      </x:c>
      <x:c r="I271" s="60" t="str">
        <x:f>IF($C271="","",IFERROR(VLOOKUP($C271,Matches!$A$2:$Q$200,16,FALSE),""))</x:f>
      </x:c>
      <x:c r="J271" s="18" t="str">
        <x:f>IF($C271="","",IFERROR(VLOOKUP($C271,Matches!$A$2:$Q$200,11,FALSE),""))</x:f>
      </x:c>
      <x:c r="K271" s="18" t="str">
        <x:f>IF($C271="","",IFERROR(VLOOKUP($C271,Matches!$A$2:$Q$200,12,FALSE),""))</x:f>
      </x:c>
      <x:c r="L271" s="18" t="str">
        <x:f>IF($A271="","",IF($C271=1,"Yes",IF(OR($I271="",$A271&lt;$I271),"Yes","Late")))</x:f>
      </x:c>
      <x:c r="M271" s="66" t="str">
        <x:f>IF($A271="","",IF($L271&lt;&gt;"Yes",0,IF($E271="",0,IF($J271="",0,IF($H271="Group",IF($E271=$J271,Setup!$H$2,Setup!$H$3),IF($E271=$K271,Setup!$H$2,Setup!$H$3))))))</x:f>
      </x:c>
      <x:c r="N271" s="66" t="str">
        <x:f>IF($A271="","",IF($L271&lt;&gt;"Yes",0,IF(OR($F271="",$G271=""),0,IF(AND($F271=VLOOKUP($C271,Matches!$A$2:$Q$200,9,FALSE),$G271=VLOOKUP($C271,Matches!$A$2:$Q$200,10,FALSE)),Setup!$H$5,0))))</x:f>
      </x:c>
      <x:c r="O271" s="66" t="str">
        <x:f>IF($A271="","",$M271+$N271)</x:f>
      </x:c>
      <x:c r="P271" s="18" t="str">
        <x:f>IF($A271="","",IF($L271="Late","Late - 0 points",IF($J271="","Waiting for result",IF($O271&gt;0,"Scored",IF($O271&lt;0,"Wrong pick","No points")))))</x:f>
      </x:c>
    </x:row>
    <x:row r="272">
      <x:c r="A272" s="60" t="n">
        <x:f>'Form Responses 1'!A272</x:f>
        <x:v>0</x:v>
      </x:c>
      <x:c r="B272" s="18" t="n">
        <x:f>'Form Responses 1'!B272</x:f>
        <x:v>0</x:v>
      </x:c>
      <x:c r="C272" s="18" t="n">
        <x:f>'Form Responses 1'!C272</x:f>
        <x:v>0</x:v>
      </x:c>
      <x:c r="D272" s="18" t="n">
        <x:f>'Form Responses 1'!D272</x:f>
        <x:v>0</x:v>
      </x:c>
      <x:c r="E272" s="18" t="n">
        <x:f>'Form Responses 1'!E272</x:f>
        <x:v>0</x:v>
      </x:c>
      <x:c r="F272" s="18" t="n">
        <x:f>'Form Responses 1'!F272</x:f>
        <x:v>0</x:v>
      </x:c>
      <x:c r="G272" s="18" t="n">
        <x:f>'Form Responses 1'!G272</x:f>
        <x:v>0</x:v>
      </x:c>
      <x:c r="H272" s="18" t="str">
        <x:f>IF($C272="","",IFERROR(VLOOKUP($C272,Matches!$A$2:$Q$200,5,FALSE),"Unknown"))</x:f>
      </x:c>
      <x:c r="I272" s="60" t="str">
        <x:f>IF($C272="","",IFERROR(VLOOKUP($C272,Matches!$A$2:$Q$200,16,FALSE),""))</x:f>
      </x:c>
      <x:c r="J272" s="18" t="str">
        <x:f>IF($C272="","",IFERROR(VLOOKUP($C272,Matches!$A$2:$Q$200,11,FALSE),""))</x:f>
      </x:c>
      <x:c r="K272" s="18" t="str">
        <x:f>IF($C272="","",IFERROR(VLOOKUP($C272,Matches!$A$2:$Q$200,12,FALSE),""))</x:f>
      </x:c>
      <x:c r="L272" s="18" t="str">
        <x:f>IF($A272="","",IF($C272=1,"Yes",IF(OR($I272="",$A272&lt;$I272),"Yes","Late")))</x:f>
      </x:c>
      <x:c r="M272" s="66" t="str">
        <x:f>IF($A272="","",IF($L272&lt;&gt;"Yes",0,IF($E272="",0,IF($J272="",0,IF($H272="Group",IF($E272=$J272,Setup!$H$2,Setup!$H$3),IF($E272=$K272,Setup!$H$2,Setup!$H$3))))))</x:f>
      </x:c>
      <x:c r="N272" s="66" t="str">
        <x:f>IF($A272="","",IF($L272&lt;&gt;"Yes",0,IF(OR($F272="",$G272=""),0,IF(AND($F272=VLOOKUP($C272,Matches!$A$2:$Q$200,9,FALSE),$G272=VLOOKUP($C272,Matches!$A$2:$Q$200,10,FALSE)),Setup!$H$5,0))))</x:f>
      </x:c>
      <x:c r="O272" s="66" t="str">
        <x:f>IF($A272="","",$M272+$N272)</x:f>
      </x:c>
      <x:c r="P272" s="18" t="str">
        <x:f>IF($A272="","",IF($L272="Late","Late - 0 points",IF($J272="","Waiting for result",IF($O272&gt;0,"Scored",IF($O272&lt;0,"Wrong pick","No points")))))</x:f>
      </x:c>
    </x:row>
    <x:row r="273">
      <x:c r="A273" s="60" t="n">
        <x:f>'Form Responses 1'!A273</x:f>
        <x:v>0</x:v>
      </x:c>
      <x:c r="B273" s="18" t="n">
        <x:f>'Form Responses 1'!B273</x:f>
        <x:v>0</x:v>
      </x:c>
      <x:c r="C273" s="18" t="n">
        <x:f>'Form Responses 1'!C273</x:f>
        <x:v>0</x:v>
      </x:c>
      <x:c r="D273" s="18" t="n">
        <x:f>'Form Responses 1'!D273</x:f>
        <x:v>0</x:v>
      </x:c>
      <x:c r="E273" s="18" t="n">
        <x:f>'Form Responses 1'!E273</x:f>
        <x:v>0</x:v>
      </x:c>
      <x:c r="F273" s="18" t="n">
        <x:f>'Form Responses 1'!F273</x:f>
        <x:v>0</x:v>
      </x:c>
      <x:c r="G273" s="18" t="n">
        <x:f>'Form Responses 1'!G273</x:f>
        <x:v>0</x:v>
      </x:c>
      <x:c r="H273" s="18" t="str">
        <x:f>IF($C273="","",IFERROR(VLOOKUP($C273,Matches!$A$2:$Q$200,5,FALSE),"Unknown"))</x:f>
      </x:c>
      <x:c r="I273" s="60" t="str">
        <x:f>IF($C273="","",IFERROR(VLOOKUP($C273,Matches!$A$2:$Q$200,16,FALSE),""))</x:f>
      </x:c>
      <x:c r="J273" s="18" t="str">
        <x:f>IF($C273="","",IFERROR(VLOOKUP($C273,Matches!$A$2:$Q$200,11,FALSE),""))</x:f>
      </x:c>
      <x:c r="K273" s="18" t="str">
        <x:f>IF($C273="","",IFERROR(VLOOKUP($C273,Matches!$A$2:$Q$200,12,FALSE),""))</x:f>
      </x:c>
      <x:c r="L273" s="18" t="str">
        <x:f>IF($A273="","",IF($C273=1,"Yes",IF(OR($I273="",$A273&lt;$I273),"Yes","Late")))</x:f>
      </x:c>
      <x:c r="M273" s="66" t="str">
        <x:f>IF($A273="","",IF($L273&lt;&gt;"Yes",0,IF($E273="",0,IF($J273="",0,IF($H273="Group",IF($E273=$J273,Setup!$H$2,Setup!$H$3),IF($E273=$K273,Setup!$H$2,Setup!$H$3))))))</x:f>
      </x:c>
      <x:c r="N273" s="66" t="str">
        <x:f>IF($A273="","",IF($L273&lt;&gt;"Yes",0,IF(OR($F273="",$G273=""),0,IF(AND($F273=VLOOKUP($C273,Matches!$A$2:$Q$200,9,FALSE),$G273=VLOOKUP($C273,Matches!$A$2:$Q$200,10,FALSE)),Setup!$H$5,0))))</x:f>
      </x:c>
      <x:c r="O273" s="66" t="str">
        <x:f>IF($A273="","",$M273+$N273)</x:f>
      </x:c>
      <x:c r="P273" s="18" t="str">
        <x:f>IF($A273="","",IF($L273="Late","Late - 0 points",IF($J273="","Waiting for result",IF($O273&gt;0,"Scored",IF($O273&lt;0,"Wrong pick","No points")))))</x:f>
      </x:c>
    </x:row>
    <x:row r="274">
      <x:c r="A274" s="60" t="n">
        <x:f>'Form Responses 1'!A274</x:f>
        <x:v>0</x:v>
      </x:c>
      <x:c r="B274" s="18" t="n">
        <x:f>'Form Responses 1'!B274</x:f>
        <x:v>0</x:v>
      </x:c>
      <x:c r="C274" s="18" t="n">
        <x:f>'Form Responses 1'!C274</x:f>
        <x:v>0</x:v>
      </x:c>
      <x:c r="D274" s="18" t="n">
        <x:f>'Form Responses 1'!D274</x:f>
        <x:v>0</x:v>
      </x:c>
      <x:c r="E274" s="18" t="n">
        <x:f>'Form Responses 1'!E274</x:f>
        <x:v>0</x:v>
      </x:c>
      <x:c r="F274" s="18" t="n">
        <x:f>'Form Responses 1'!F274</x:f>
        <x:v>0</x:v>
      </x:c>
      <x:c r="G274" s="18" t="n">
        <x:f>'Form Responses 1'!G274</x:f>
        <x:v>0</x:v>
      </x:c>
      <x:c r="H274" s="18" t="str">
        <x:f>IF($C274="","",IFERROR(VLOOKUP($C274,Matches!$A$2:$Q$200,5,FALSE),"Unknown"))</x:f>
      </x:c>
      <x:c r="I274" s="60" t="str">
        <x:f>IF($C274="","",IFERROR(VLOOKUP($C274,Matches!$A$2:$Q$200,16,FALSE),""))</x:f>
      </x:c>
      <x:c r="J274" s="18" t="str">
        <x:f>IF($C274="","",IFERROR(VLOOKUP($C274,Matches!$A$2:$Q$200,11,FALSE),""))</x:f>
      </x:c>
      <x:c r="K274" s="18" t="str">
        <x:f>IF($C274="","",IFERROR(VLOOKUP($C274,Matches!$A$2:$Q$200,12,FALSE),""))</x:f>
      </x:c>
      <x:c r="L274" s="18" t="str">
        <x:f>IF($A274="","",IF($C274=1,"Yes",IF(OR($I274="",$A274&lt;$I274),"Yes","Late")))</x:f>
      </x:c>
      <x:c r="M274" s="66" t="str">
        <x:f>IF($A274="","",IF($L274&lt;&gt;"Yes",0,IF($E274="",0,IF($J274="",0,IF($H274="Group",IF($E274=$J274,Setup!$H$2,Setup!$H$3),IF($E274=$K274,Setup!$H$2,Setup!$H$3))))))</x:f>
      </x:c>
      <x:c r="N274" s="66" t="str">
        <x:f>IF($A274="","",IF($L274&lt;&gt;"Yes",0,IF(OR($F274="",$G274=""),0,IF(AND($F274=VLOOKUP($C274,Matches!$A$2:$Q$200,9,FALSE),$G274=VLOOKUP($C274,Matches!$A$2:$Q$200,10,FALSE)),Setup!$H$5,0))))</x:f>
      </x:c>
      <x:c r="O274" s="66" t="str">
        <x:f>IF($A274="","",$M274+$N274)</x:f>
      </x:c>
      <x:c r="P274" s="18" t="str">
        <x:f>IF($A274="","",IF($L274="Late","Late - 0 points",IF($J274="","Waiting for result",IF($O274&gt;0,"Scored",IF($O274&lt;0,"Wrong pick","No points")))))</x:f>
      </x:c>
    </x:row>
    <x:row r="275">
      <x:c r="A275" s="60" t="n">
        <x:f>'Form Responses 1'!A275</x:f>
        <x:v>0</x:v>
      </x:c>
      <x:c r="B275" s="18" t="n">
        <x:f>'Form Responses 1'!B275</x:f>
        <x:v>0</x:v>
      </x:c>
      <x:c r="C275" s="18" t="n">
        <x:f>'Form Responses 1'!C275</x:f>
        <x:v>0</x:v>
      </x:c>
      <x:c r="D275" s="18" t="n">
        <x:f>'Form Responses 1'!D275</x:f>
        <x:v>0</x:v>
      </x:c>
      <x:c r="E275" s="18" t="n">
        <x:f>'Form Responses 1'!E275</x:f>
        <x:v>0</x:v>
      </x:c>
      <x:c r="F275" s="18" t="n">
        <x:f>'Form Responses 1'!F275</x:f>
        <x:v>0</x:v>
      </x:c>
      <x:c r="G275" s="18" t="n">
        <x:f>'Form Responses 1'!G275</x:f>
        <x:v>0</x:v>
      </x:c>
      <x:c r="H275" s="18" t="str">
        <x:f>IF($C275="","",IFERROR(VLOOKUP($C275,Matches!$A$2:$Q$200,5,FALSE),"Unknown"))</x:f>
      </x:c>
      <x:c r="I275" s="60" t="str">
        <x:f>IF($C275="","",IFERROR(VLOOKUP($C275,Matches!$A$2:$Q$200,16,FALSE),""))</x:f>
      </x:c>
      <x:c r="J275" s="18" t="str">
        <x:f>IF($C275="","",IFERROR(VLOOKUP($C275,Matches!$A$2:$Q$200,11,FALSE),""))</x:f>
      </x:c>
      <x:c r="K275" s="18" t="str">
        <x:f>IF($C275="","",IFERROR(VLOOKUP($C275,Matches!$A$2:$Q$200,12,FALSE),""))</x:f>
      </x:c>
      <x:c r="L275" s="18" t="str">
        <x:f>IF($A275="","",IF($C275=1,"Yes",IF(OR($I275="",$A275&lt;$I275),"Yes","Late")))</x:f>
      </x:c>
      <x:c r="M275" s="66" t="str">
        <x:f>IF($A275="","",IF($L275&lt;&gt;"Yes",0,IF($E275="",0,IF($J275="",0,IF($H275="Group",IF($E275=$J275,Setup!$H$2,Setup!$H$3),IF($E275=$K275,Setup!$H$2,Setup!$H$3))))))</x:f>
      </x:c>
      <x:c r="N275" s="66" t="str">
        <x:f>IF($A275="","",IF($L275&lt;&gt;"Yes",0,IF(OR($F275="",$G275=""),0,IF(AND($F275=VLOOKUP($C275,Matches!$A$2:$Q$200,9,FALSE),$G275=VLOOKUP($C275,Matches!$A$2:$Q$200,10,FALSE)),Setup!$H$5,0))))</x:f>
      </x:c>
      <x:c r="O275" s="66" t="str">
        <x:f>IF($A275="","",$M275+$N275)</x:f>
      </x:c>
      <x:c r="P275" s="18" t="str">
        <x:f>IF($A275="","",IF($L275="Late","Late - 0 points",IF($J275="","Waiting for result",IF($O275&gt;0,"Scored",IF($O275&lt;0,"Wrong pick","No points")))))</x:f>
      </x:c>
    </x:row>
    <x:row r="276">
      <x:c r="A276" s="60" t="n">
        <x:f>'Form Responses 1'!A276</x:f>
        <x:v>0</x:v>
      </x:c>
      <x:c r="B276" s="18" t="n">
        <x:f>'Form Responses 1'!B276</x:f>
        <x:v>0</x:v>
      </x:c>
      <x:c r="C276" s="18" t="n">
        <x:f>'Form Responses 1'!C276</x:f>
        <x:v>0</x:v>
      </x:c>
      <x:c r="D276" s="18" t="n">
        <x:f>'Form Responses 1'!D276</x:f>
        <x:v>0</x:v>
      </x:c>
      <x:c r="E276" s="18" t="n">
        <x:f>'Form Responses 1'!E276</x:f>
        <x:v>0</x:v>
      </x:c>
      <x:c r="F276" s="18" t="n">
        <x:f>'Form Responses 1'!F276</x:f>
        <x:v>0</x:v>
      </x:c>
      <x:c r="G276" s="18" t="n">
        <x:f>'Form Responses 1'!G276</x:f>
        <x:v>0</x:v>
      </x:c>
      <x:c r="H276" s="18" t="str">
        <x:f>IF($C276="","",IFERROR(VLOOKUP($C276,Matches!$A$2:$Q$200,5,FALSE),"Unknown"))</x:f>
      </x:c>
      <x:c r="I276" s="60" t="str">
        <x:f>IF($C276="","",IFERROR(VLOOKUP($C276,Matches!$A$2:$Q$200,16,FALSE),""))</x:f>
      </x:c>
      <x:c r="J276" s="18" t="str">
        <x:f>IF($C276="","",IFERROR(VLOOKUP($C276,Matches!$A$2:$Q$200,11,FALSE),""))</x:f>
      </x:c>
      <x:c r="K276" s="18" t="str">
        <x:f>IF($C276="","",IFERROR(VLOOKUP($C276,Matches!$A$2:$Q$200,12,FALSE),""))</x:f>
      </x:c>
      <x:c r="L276" s="18" t="str">
        <x:f>IF($A276="","",IF($C276=1,"Yes",IF(OR($I276="",$A276&lt;$I276),"Yes","Late")))</x:f>
      </x:c>
      <x:c r="M276" s="66" t="str">
        <x:f>IF($A276="","",IF($L276&lt;&gt;"Yes",0,IF($E276="",0,IF($J276="",0,IF($H276="Group",IF($E276=$J276,Setup!$H$2,Setup!$H$3),IF($E276=$K276,Setup!$H$2,Setup!$H$3))))))</x:f>
      </x:c>
      <x:c r="N276" s="66" t="str">
        <x:f>IF($A276="","",IF($L276&lt;&gt;"Yes",0,IF(OR($F276="",$G276=""),0,IF(AND($F276=VLOOKUP($C276,Matches!$A$2:$Q$200,9,FALSE),$G276=VLOOKUP($C276,Matches!$A$2:$Q$200,10,FALSE)),Setup!$H$5,0))))</x:f>
      </x:c>
      <x:c r="O276" s="66" t="str">
        <x:f>IF($A276="","",$M276+$N276)</x:f>
      </x:c>
      <x:c r="P276" s="18" t="str">
        <x:f>IF($A276="","",IF($L276="Late","Late - 0 points",IF($J276="","Waiting for result",IF($O276&gt;0,"Scored",IF($O276&lt;0,"Wrong pick","No points")))))</x:f>
      </x:c>
    </x:row>
    <x:row r="277">
      <x:c r="A277" s="60" t="n">
        <x:f>'Form Responses 1'!A277</x:f>
        <x:v>0</x:v>
      </x:c>
      <x:c r="B277" s="18" t="n">
        <x:f>'Form Responses 1'!B277</x:f>
        <x:v>0</x:v>
      </x:c>
      <x:c r="C277" s="18" t="n">
        <x:f>'Form Responses 1'!C277</x:f>
        <x:v>0</x:v>
      </x:c>
      <x:c r="D277" s="18" t="n">
        <x:f>'Form Responses 1'!D277</x:f>
        <x:v>0</x:v>
      </x:c>
      <x:c r="E277" s="18" t="n">
        <x:f>'Form Responses 1'!E277</x:f>
        <x:v>0</x:v>
      </x:c>
      <x:c r="F277" s="18" t="n">
        <x:f>'Form Responses 1'!F277</x:f>
        <x:v>0</x:v>
      </x:c>
      <x:c r="G277" s="18" t="n">
        <x:f>'Form Responses 1'!G277</x:f>
        <x:v>0</x:v>
      </x:c>
      <x:c r="H277" s="18" t="str">
        <x:f>IF($C277="","",IFERROR(VLOOKUP($C277,Matches!$A$2:$Q$200,5,FALSE),"Unknown"))</x:f>
      </x:c>
      <x:c r="I277" s="60" t="str">
        <x:f>IF($C277="","",IFERROR(VLOOKUP($C277,Matches!$A$2:$Q$200,16,FALSE),""))</x:f>
      </x:c>
      <x:c r="J277" s="18" t="str">
        <x:f>IF($C277="","",IFERROR(VLOOKUP($C277,Matches!$A$2:$Q$200,11,FALSE),""))</x:f>
      </x:c>
      <x:c r="K277" s="18" t="str">
        <x:f>IF($C277="","",IFERROR(VLOOKUP($C277,Matches!$A$2:$Q$200,12,FALSE),""))</x:f>
      </x:c>
      <x:c r="L277" s="18" t="str">
        <x:f>IF($A277="","",IF($C277=1,"Yes",IF(OR($I277="",$A277&lt;$I277),"Yes","Late")))</x:f>
      </x:c>
      <x:c r="M277" s="66" t="str">
        <x:f>IF($A277="","",IF($L277&lt;&gt;"Yes",0,IF($E277="",0,IF($J277="",0,IF($H277="Group",IF($E277=$J277,Setup!$H$2,Setup!$H$3),IF($E277=$K277,Setup!$H$2,Setup!$H$3))))))</x:f>
      </x:c>
      <x:c r="N277" s="66" t="str">
        <x:f>IF($A277="","",IF($L277&lt;&gt;"Yes",0,IF(OR($F277="",$G277=""),0,IF(AND($F277=VLOOKUP($C277,Matches!$A$2:$Q$200,9,FALSE),$G277=VLOOKUP($C277,Matches!$A$2:$Q$200,10,FALSE)),Setup!$H$5,0))))</x:f>
      </x:c>
      <x:c r="O277" s="66" t="str">
        <x:f>IF($A277="","",$M277+$N277)</x:f>
      </x:c>
      <x:c r="P277" s="18" t="str">
        <x:f>IF($A277="","",IF($L277="Late","Late - 0 points",IF($J277="","Waiting for result",IF($O277&gt;0,"Scored",IF($O277&lt;0,"Wrong pick","No points")))))</x:f>
      </x:c>
    </x:row>
    <x:row r="278">
      <x:c r="A278" s="60" t="n">
        <x:f>'Form Responses 1'!A278</x:f>
        <x:v>0</x:v>
      </x:c>
      <x:c r="B278" s="18" t="n">
        <x:f>'Form Responses 1'!B278</x:f>
        <x:v>0</x:v>
      </x:c>
      <x:c r="C278" s="18" t="n">
        <x:f>'Form Responses 1'!C278</x:f>
        <x:v>0</x:v>
      </x:c>
      <x:c r="D278" s="18" t="n">
        <x:f>'Form Responses 1'!D278</x:f>
        <x:v>0</x:v>
      </x:c>
      <x:c r="E278" s="18" t="n">
        <x:f>'Form Responses 1'!E278</x:f>
        <x:v>0</x:v>
      </x:c>
      <x:c r="F278" s="18" t="n">
        <x:f>'Form Responses 1'!F278</x:f>
        <x:v>0</x:v>
      </x:c>
      <x:c r="G278" s="18" t="n">
        <x:f>'Form Responses 1'!G278</x:f>
        <x:v>0</x:v>
      </x:c>
      <x:c r="H278" s="18" t="str">
        <x:f>IF($C278="","",IFERROR(VLOOKUP($C278,Matches!$A$2:$Q$200,5,FALSE),"Unknown"))</x:f>
      </x:c>
      <x:c r="I278" s="60" t="str">
        <x:f>IF($C278="","",IFERROR(VLOOKUP($C278,Matches!$A$2:$Q$200,16,FALSE),""))</x:f>
      </x:c>
      <x:c r="J278" s="18" t="str">
        <x:f>IF($C278="","",IFERROR(VLOOKUP($C278,Matches!$A$2:$Q$200,11,FALSE),""))</x:f>
      </x:c>
      <x:c r="K278" s="18" t="str">
        <x:f>IF($C278="","",IFERROR(VLOOKUP($C278,Matches!$A$2:$Q$200,12,FALSE),""))</x:f>
      </x:c>
      <x:c r="L278" s="18" t="str">
        <x:f>IF($A278="","",IF($C278=1,"Yes",IF(OR($I278="",$A278&lt;$I278),"Yes","Late")))</x:f>
      </x:c>
      <x:c r="M278" s="66" t="str">
        <x:f>IF($A278="","",IF($L278&lt;&gt;"Yes",0,IF($E278="",0,IF($J278="",0,IF($H278="Group",IF($E278=$J278,Setup!$H$2,Setup!$H$3),IF($E278=$K278,Setup!$H$2,Setup!$H$3))))))</x:f>
      </x:c>
      <x:c r="N278" s="66" t="str">
        <x:f>IF($A278="","",IF($L278&lt;&gt;"Yes",0,IF(OR($F278="",$G278=""),0,IF(AND($F278=VLOOKUP($C278,Matches!$A$2:$Q$200,9,FALSE),$G278=VLOOKUP($C278,Matches!$A$2:$Q$200,10,FALSE)),Setup!$H$5,0))))</x:f>
      </x:c>
      <x:c r="O278" s="66" t="str">
        <x:f>IF($A278="","",$M278+$N278)</x:f>
      </x:c>
      <x:c r="P278" s="18" t="str">
        <x:f>IF($A278="","",IF($L278="Late","Late - 0 points",IF($J278="","Waiting for result",IF($O278&gt;0,"Scored",IF($O278&lt;0,"Wrong pick","No points")))))</x:f>
      </x:c>
    </x:row>
    <x:row r="279">
      <x:c r="A279" s="60" t="n">
        <x:f>'Form Responses 1'!A279</x:f>
        <x:v>0</x:v>
      </x:c>
      <x:c r="B279" s="18" t="n">
        <x:f>'Form Responses 1'!B279</x:f>
        <x:v>0</x:v>
      </x:c>
      <x:c r="C279" s="18" t="n">
        <x:f>'Form Responses 1'!C279</x:f>
        <x:v>0</x:v>
      </x:c>
      <x:c r="D279" s="18" t="n">
        <x:f>'Form Responses 1'!D279</x:f>
        <x:v>0</x:v>
      </x:c>
      <x:c r="E279" s="18" t="n">
        <x:f>'Form Responses 1'!E279</x:f>
        <x:v>0</x:v>
      </x:c>
      <x:c r="F279" s="18" t="n">
        <x:f>'Form Responses 1'!F279</x:f>
        <x:v>0</x:v>
      </x:c>
      <x:c r="G279" s="18" t="n">
        <x:f>'Form Responses 1'!G279</x:f>
        <x:v>0</x:v>
      </x:c>
      <x:c r="H279" s="18" t="str">
        <x:f>IF($C279="","",IFERROR(VLOOKUP($C279,Matches!$A$2:$Q$200,5,FALSE),"Unknown"))</x:f>
      </x:c>
      <x:c r="I279" s="60" t="str">
        <x:f>IF($C279="","",IFERROR(VLOOKUP($C279,Matches!$A$2:$Q$200,16,FALSE),""))</x:f>
      </x:c>
      <x:c r="J279" s="18" t="str">
        <x:f>IF($C279="","",IFERROR(VLOOKUP($C279,Matches!$A$2:$Q$200,11,FALSE),""))</x:f>
      </x:c>
      <x:c r="K279" s="18" t="str">
        <x:f>IF($C279="","",IFERROR(VLOOKUP($C279,Matches!$A$2:$Q$200,12,FALSE),""))</x:f>
      </x:c>
      <x:c r="L279" s="18" t="str">
        <x:f>IF($A279="","",IF($C279=1,"Yes",IF(OR($I279="",$A279&lt;$I279),"Yes","Late")))</x:f>
      </x:c>
      <x:c r="M279" s="66" t="str">
        <x:f>IF($A279="","",IF($L279&lt;&gt;"Yes",0,IF($E279="",0,IF($J279="",0,IF($H279="Group",IF($E279=$J279,Setup!$H$2,Setup!$H$3),IF($E279=$K279,Setup!$H$2,Setup!$H$3))))))</x:f>
      </x:c>
      <x:c r="N279" s="66" t="str">
        <x:f>IF($A279="","",IF($L279&lt;&gt;"Yes",0,IF(OR($F279="",$G279=""),0,IF(AND($F279=VLOOKUP($C279,Matches!$A$2:$Q$200,9,FALSE),$G279=VLOOKUP($C279,Matches!$A$2:$Q$200,10,FALSE)),Setup!$H$5,0))))</x:f>
      </x:c>
      <x:c r="O279" s="66" t="str">
        <x:f>IF($A279="","",$M279+$N279)</x:f>
      </x:c>
      <x:c r="P279" s="18" t="str">
        <x:f>IF($A279="","",IF($L279="Late","Late - 0 points",IF($J279="","Waiting for result",IF($O279&gt;0,"Scored",IF($O279&lt;0,"Wrong pick","No points")))))</x:f>
      </x:c>
    </x:row>
    <x:row r="280">
      <x:c r="A280" s="60" t="n">
        <x:f>'Form Responses 1'!A280</x:f>
        <x:v>0</x:v>
      </x:c>
      <x:c r="B280" s="18" t="n">
        <x:f>'Form Responses 1'!B280</x:f>
        <x:v>0</x:v>
      </x:c>
      <x:c r="C280" s="18" t="n">
        <x:f>'Form Responses 1'!C280</x:f>
        <x:v>0</x:v>
      </x:c>
      <x:c r="D280" s="18" t="n">
        <x:f>'Form Responses 1'!D280</x:f>
        <x:v>0</x:v>
      </x:c>
      <x:c r="E280" s="18" t="n">
        <x:f>'Form Responses 1'!E280</x:f>
        <x:v>0</x:v>
      </x:c>
      <x:c r="F280" s="18" t="n">
        <x:f>'Form Responses 1'!F280</x:f>
        <x:v>0</x:v>
      </x:c>
      <x:c r="G280" s="18" t="n">
        <x:f>'Form Responses 1'!G280</x:f>
        <x:v>0</x:v>
      </x:c>
      <x:c r="H280" s="18" t="str">
        <x:f>IF($C280="","",IFERROR(VLOOKUP($C280,Matches!$A$2:$Q$200,5,FALSE),"Unknown"))</x:f>
      </x:c>
      <x:c r="I280" s="60" t="str">
        <x:f>IF($C280="","",IFERROR(VLOOKUP($C280,Matches!$A$2:$Q$200,16,FALSE),""))</x:f>
      </x:c>
      <x:c r="J280" s="18" t="str">
        <x:f>IF($C280="","",IFERROR(VLOOKUP($C280,Matches!$A$2:$Q$200,11,FALSE),""))</x:f>
      </x:c>
      <x:c r="K280" s="18" t="str">
        <x:f>IF($C280="","",IFERROR(VLOOKUP($C280,Matches!$A$2:$Q$200,12,FALSE),""))</x:f>
      </x:c>
      <x:c r="L280" s="18" t="str">
        <x:f>IF($A280="","",IF($C280=1,"Yes",IF(OR($I280="",$A280&lt;$I280),"Yes","Late")))</x:f>
      </x:c>
      <x:c r="M280" s="66" t="str">
        <x:f>IF($A280="","",IF($L280&lt;&gt;"Yes",0,IF($E280="",0,IF($J280="",0,IF($H280="Group",IF($E280=$J280,Setup!$H$2,Setup!$H$3),IF($E280=$K280,Setup!$H$2,Setup!$H$3))))))</x:f>
      </x:c>
      <x:c r="N280" s="66" t="str">
        <x:f>IF($A280="","",IF($L280&lt;&gt;"Yes",0,IF(OR($F280="",$G280=""),0,IF(AND($F280=VLOOKUP($C280,Matches!$A$2:$Q$200,9,FALSE),$G280=VLOOKUP($C280,Matches!$A$2:$Q$200,10,FALSE)),Setup!$H$5,0))))</x:f>
      </x:c>
      <x:c r="O280" s="66" t="str">
        <x:f>IF($A280="","",$M280+$N280)</x:f>
      </x:c>
      <x:c r="P280" s="18" t="str">
        <x:f>IF($A280="","",IF($L280="Late","Late - 0 points",IF($J280="","Waiting for result",IF($O280&gt;0,"Scored",IF($O280&lt;0,"Wrong pick","No points")))))</x:f>
      </x:c>
    </x:row>
    <x:row r="281">
      <x:c r="A281" s="60" t="n">
        <x:f>'Form Responses 1'!A281</x:f>
        <x:v>0</x:v>
      </x:c>
      <x:c r="B281" s="18" t="n">
        <x:f>'Form Responses 1'!B281</x:f>
        <x:v>0</x:v>
      </x:c>
      <x:c r="C281" s="18" t="n">
        <x:f>'Form Responses 1'!C281</x:f>
        <x:v>0</x:v>
      </x:c>
      <x:c r="D281" s="18" t="n">
        <x:f>'Form Responses 1'!D281</x:f>
        <x:v>0</x:v>
      </x:c>
      <x:c r="E281" s="18" t="n">
        <x:f>'Form Responses 1'!E281</x:f>
        <x:v>0</x:v>
      </x:c>
      <x:c r="F281" s="18" t="n">
        <x:f>'Form Responses 1'!F281</x:f>
        <x:v>0</x:v>
      </x:c>
      <x:c r="G281" s="18" t="n">
        <x:f>'Form Responses 1'!G281</x:f>
        <x:v>0</x:v>
      </x:c>
      <x:c r="H281" s="18" t="str">
        <x:f>IF($C281="","",IFERROR(VLOOKUP($C281,Matches!$A$2:$Q$200,5,FALSE),"Unknown"))</x:f>
      </x:c>
      <x:c r="I281" s="60" t="str">
        <x:f>IF($C281="","",IFERROR(VLOOKUP($C281,Matches!$A$2:$Q$200,16,FALSE),""))</x:f>
      </x:c>
      <x:c r="J281" s="18" t="str">
        <x:f>IF($C281="","",IFERROR(VLOOKUP($C281,Matches!$A$2:$Q$200,11,FALSE),""))</x:f>
      </x:c>
      <x:c r="K281" s="18" t="str">
        <x:f>IF($C281="","",IFERROR(VLOOKUP($C281,Matches!$A$2:$Q$200,12,FALSE),""))</x:f>
      </x:c>
      <x:c r="L281" s="18" t="str">
        <x:f>IF($A281="","",IF($C281=1,"Yes",IF(OR($I281="",$A281&lt;$I281),"Yes","Late")))</x:f>
      </x:c>
      <x:c r="M281" s="66" t="str">
        <x:f>IF($A281="","",IF($L281&lt;&gt;"Yes",0,IF($E281="",0,IF($J281="",0,IF($H281="Group",IF($E281=$J281,Setup!$H$2,Setup!$H$3),IF($E281=$K281,Setup!$H$2,Setup!$H$3))))))</x:f>
      </x:c>
      <x:c r="N281" s="66" t="str">
        <x:f>IF($A281="","",IF($L281&lt;&gt;"Yes",0,IF(OR($F281="",$G281=""),0,IF(AND($F281=VLOOKUP($C281,Matches!$A$2:$Q$200,9,FALSE),$G281=VLOOKUP($C281,Matches!$A$2:$Q$200,10,FALSE)),Setup!$H$5,0))))</x:f>
      </x:c>
      <x:c r="O281" s="66" t="str">
        <x:f>IF($A281="","",$M281+$N281)</x:f>
      </x:c>
      <x:c r="P281" s="18" t="str">
        <x:f>IF($A281="","",IF($L281="Late","Late - 0 points",IF($J281="","Waiting for result",IF($O281&gt;0,"Scored",IF($O281&lt;0,"Wrong pick","No points")))))</x:f>
      </x:c>
    </x:row>
    <x:row r="282">
      <x:c r="A282" s="60" t="n">
        <x:f>'Form Responses 1'!A282</x:f>
        <x:v>0</x:v>
      </x:c>
      <x:c r="B282" s="18" t="n">
        <x:f>'Form Responses 1'!B282</x:f>
        <x:v>0</x:v>
      </x:c>
      <x:c r="C282" s="18" t="n">
        <x:f>'Form Responses 1'!C282</x:f>
        <x:v>0</x:v>
      </x:c>
      <x:c r="D282" s="18" t="n">
        <x:f>'Form Responses 1'!D282</x:f>
        <x:v>0</x:v>
      </x:c>
      <x:c r="E282" s="18" t="n">
        <x:f>'Form Responses 1'!E282</x:f>
        <x:v>0</x:v>
      </x:c>
      <x:c r="F282" s="18" t="n">
        <x:f>'Form Responses 1'!F282</x:f>
        <x:v>0</x:v>
      </x:c>
      <x:c r="G282" s="18" t="n">
        <x:f>'Form Responses 1'!G282</x:f>
        <x:v>0</x:v>
      </x:c>
      <x:c r="H282" s="18" t="str">
        <x:f>IF($C282="","",IFERROR(VLOOKUP($C282,Matches!$A$2:$Q$200,5,FALSE),"Unknown"))</x:f>
      </x:c>
      <x:c r="I282" s="60" t="str">
        <x:f>IF($C282="","",IFERROR(VLOOKUP($C282,Matches!$A$2:$Q$200,16,FALSE),""))</x:f>
      </x:c>
      <x:c r="J282" s="18" t="str">
        <x:f>IF($C282="","",IFERROR(VLOOKUP($C282,Matches!$A$2:$Q$200,11,FALSE),""))</x:f>
      </x:c>
      <x:c r="K282" s="18" t="str">
        <x:f>IF($C282="","",IFERROR(VLOOKUP($C282,Matches!$A$2:$Q$200,12,FALSE),""))</x:f>
      </x:c>
      <x:c r="L282" s="18" t="str">
        <x:f>IF($A282="","",IF($C282=1,"Yes",IF(OR($I282="",$A282&lt;$I282),"Yes","Late")))</x:f>
      </x:c>
      <x:c r="M282" s="66" t="str">
        <x:f>IF($A282="","",IF($L282&lt;&gt;"Yes",0,IF($E282="",0,IF($J282="",0,IF($H282="Group",IF($E282=$J282,Setup!$H$2,Setup!$H$3),IF($E282=$K282,Setup!$H$2,Setup!$H$3))))))</x:f>
      </x:c>
      <x:c r="N282" s="66" t="str">
        <x:f>IF($A282="","",IF($L282&lt;&gt;"Yes",0,IF(OR($F282="",$G282=""),0,IF(AND($F282=VLOOKUP($C282,Matches!$A$2:$Q$200,9,FALSE),$G282=VLOOKUP($C282,Matches!$A$2:$Q$200,10,FALSE)),Setup!$H$5,0))))</x:f>
      </x:c>
      <x:c r="O282" s="66" t="str">
        <x:f>IF($A282="","",$M282+$N282)</x:f>
      </x:c>
      <x:c r="P282" s="18" t="str">
        <x:f>IF($A282="","",IF($L282="Late","Late - 0 points",IF($J282="","Waiting for result",IF($O282&gt;0,"Scored",IF($O282&lt;0,"Wrong pick","No points")))))</x:f>
      </x:c>
    </x:row>
    <x:row r="283">
      <x:c r="A283" s="60" t="n">
        <x:f>'Form Responses 1'!A283</x:f>
        <x:v>0</x:v>
      </x:c>
      <x:c r="B283" s="18" t="n">
        <x:f>'Form Responses 1'!B283</x:f>
        <x:v>0</x:v>
      </x:c>
      <x:c r="C283" s="18" t="n">
        <x:f>'Form Responses 1'!C283</x:f>
        <x:v>0</x:v>
      </x:c>
      <x:c r="D283" s="18" t="n">
        <x:f>'Form Responses 1'!D283</x:f>
        <x:v>0</x:v>
      </x:c>
      <x:c r="E283" s="18" t="n">
        <x:f>'Form Responses 1'!E283</x:f>
        <x:v>0</x:v>
      </x:c>
      <x:c r="F283" s="18" t="n">
        <x:f>'Form Responses 1'!F283</x:f>
        <x:v>0</x:v>
      </x:c>
      <x:c r="G283" s="18" t="n">
        <x:f>'Form Responses 1'!G283</x:f>
        <x:v>0</x:v>
      </x:c>
      <x:c r="H283" s="18" t="str">
        <x:f>IF($C283="","",IFERROR(VLOOKUP($C283,Matches!$A$2:$Q$200,5,FALSE),"Unknown"))</x:f>
      </x:c>
      <x:c r="I283" s="60" t="str">
        <x:f>IF($C283="","",IFERROR(VLOOKUP($C283,Matches!$A$2:$Q$200,16,FALSE),""))</x:f>
      </x:c>
      <x:c r="J283" s="18" t="str">
        <x:f>IF($C283="","",IFERROR(VLOOKUP($C283,Matches!$A$2:$Q$200,11,FALSE),""))</x:f>
      </x:c>
      <x:c r="K283" s="18" t="str">
        <x:f>IF($C283="","",IFERROR(VLOOKUP($C283,Matches!$A$2:$Q$200,12,FALSE),""))</x:f>
      </x:c>
      <x:c r="L283" s="18" t="str">
        <x:f>IF($A283="","",IF($C283=1,"Yes",IF(OR($I283="",$A283&lt;$I283),"Yes","Late")))</x:f>
      </x:c>
      <x:c r="M283" s="66" t="str">
        <x:f>IF($A283="","",IF($L283&lt;&gt;"Yes",0,IF($E283="",0,IF($J283="",0,IF($H283="Group",IF($E283=$J283,Setup!$H$2,Setup!$H$3),IF($E283=$K283,Setup!$H$2,Setup!$H$3))))))</x:f>
      </x:c>
      <x:c r="N283" s="66" t="str">
        <x:f>IF($A283="","",IF($L283&lt;&gt;"Yes",0,IF(OR($F283="",$G283=""),0,IF(AND($F283=VLOOKUP($C283,Matches!$A$2:$Q$200,9,FALSE),$G283=VLOOKUP($C283,Matches!$A$2:$Q$200,10,FALSE)),Setup!$H$5,0))))</x:f>
      </x:c>
      <x:c r="O283" s="66" t="str">
        <x:f>IF($A283="","",$M283+$N283)</x:f>
      </x:c>
      <x:c r="P283" s="18" t="str">
        <x:f>IF($A283="","",IF($L283="Late","Late - 0 points",IF($J283="","Waiting for result",IF($O283&gt;0,"Scored",IF($O283&lt;0,"Wrong pick","No points")))))</x:f>
      </x:c>
    </x:row>
    <x:row r="284">
      <x:c r="A284" s="60" t="n">
        <x:f>'Form Responses 1'!A284</x:f>
        <x:v>0</x:v>
      </x:c>
      <x:c r="B284" s="18" t="n">
        <x:f>'Form Responses 1'!B284</x:f>
        <x:v>0</x:v>
      </x:c>
      <x:c r="C284" s="18" t="n">
        <x:f>'Form Responses 1'!C284</x:f>
        <x:v>0</x:v>
      </x:c>
      <x:c r="D284" s="18" t="n">
        <x:f>'Form Responses 1'!D284</x:f>
        <x:v>0</x:v>
      </x:c>
      <x:c r="E284" s="18" t="n">
        <x:f>'Form Responses 1'!E284</x:f>
        <x:v>0</x:v>
      </x:c>
      <x:c r="F284" s="18" t="n">
        <x:f>'Form Responses 1'!F284</x:f>
        <x:v>0</x:v>
      </x:c>
      <x:c r="G284" s="18" t="n">
        <x:f>'Form Responses 1'!G284</x:f>
        <x:v>0</x:v>
      </x:c>
      <x:c r="H284" s="18" t="str">
        <x:f>IF($C284="","",IFERROR(VLOOKUP($C284,Matches!$A$2:$Q$200,5,FALSE),"Unknown"))</x:f>
      </x:c>
      <x:c r="I284" s="60" t="str">
        <x:f>IF($C284="","",IFERROR(VLOOKUP($C284,Matches!$A$2:$Q$200,16,FALSE),""))</x:f>
      </x:c>
      <x:c r="J284" s="18" t="str">
        <x:f>IF($C284="","",IFERROR(VLOOKUP($C284,Matches!$A$2:$Q$200,11,FALSE),""))</x:f>
      </x:c>
      <x:c r="K284" s="18" t="str">
        <x:f>IF($C284="","",IFERROR(VLOOKUP($C284,Matches!$A$2:$Q$200,12,FALSE),""))</x:f>
      </x:c>
      <x:c r="L284" s="18" t="str">
        <x:f>IF($A284="","",IF($C284=1,"Yes",IF(OR($I284="",$A284&lt;$I284),"Yes","Late")))</x:f>
      </x:c>
      <x:c r="M284" s="66" t="str">
        <x:f>IF($A284="","",IF($L284&lt;&gt;"Yes",0,IF($E284="",0,IF($J284="",0,IF($H284="Group",IF($E284=$J284,Setup!$H$2,Setup!$H$3),IF($E284=$K284,Setup!$H$2,Setup!$H$3))))))</x:f>
      </x:c>
      <x:c r="N284" s="66" t="str">
        <x:f>IF($A284="","",IF($L284&lt;&gt;"Yes",0,IF(OR($F284="",$G284=""),0,IF(AND($F284=VLOOKUP($C284,Matches!$A$2:$Q$200,9,FALSE),$G284=VLOOKUP($C284,Matches!$A$2:$Q$200,10,FALSE)),Setup!$H$5,0))))</x:f>
      </x:c>
      <x:c r="O284" s="66" t="str">
        <x:f>IF($A284="","",$M284+$N284)</x:f>
      </x:c>
      <x:c r="P284" s="18" t="str">
        <x:f>IF($A284="","",IF($L284="Late","Late - 0 points",IF($J284="","Waiting for result",IF($O284&gt;0,"Scored",IF($O284&lt;0,"Wrong pick","No points")))))</x:f>
      </x:c>
    </x:row>
    <x:row r="285">
      <x:c r="A285" s="60" t="n">
        <x:f>'Form Responses 1'!A285</x:f>
        <x:v>0</x:v>
      </x:c>
      <x:c r="B285" s="18" t="n">
        <x:f>'Form Responses 1'!B285</x:f>
        <x:v>0</x:v>
      </x:c>
      <x:c r="C285" s="18" t="n">
        <x:f>'Form Responses 1'!C285</x:f>
        <x:v>0</x:v>
      </x:c>
      <x:c r="D285" s="18" t="n">
        <x:f>'Form Responses 1'!D285</x:f>
        <x:v>0</x:v>
      </x:c>
      <x:c r="E285" s="18" t="n">
        <x:f>'Form Responses 1'!E285</x:f>
        <x:v>0</x:v>
      </x:c>
      <x:c r="F285" s="18" t="n">
        <x:f>'Form Responses 1'!F285</x:f>
        <x:v>0</x:v>
      </x:c>
      <x:c r="G285" s="18" t="n">
        <x:f>'Form Responses 1'!G285</x:f>
        <x:v>0</x:v>
      </x:c>
      <x:c r="H285" s="18" t="str">
        <x:f>IF($C285="","",IFERROR(VLOOKUP($C285,Matches!$A$2:$Q$200,5,FALSE),"Unknown"))</x:f>
      </x:c>
      <x:c r="I285" s="60" t="str">
        <x:f>IF($C285="","",IFERROR(VLOOKUP($C285,Matches!$A$2:$Q$200,16,FALSE),""))</x:f>
      </x:c>
      <x:c r="J285" s="18" t="str">
        <x:f>IF($C285="","",IFERROR(VLOOKUP($C285,Matches!$A$2:$Q$200,11,FALSE),""))</x:f>
      </x:c>
      <x:c r="K285" s="18" t="str">
        <x:f>IF($C285="","",IFERROR(VLOOKUP($C285,Matches!$A$2:$Q$200,12,FALSE),""))</x:f>
      </x:c>
      <x:c r="L285" s="18" t="str">
        <x:f>IF($A285="","",IF($C285=1,"Yes",IF(OR($I285="",$A285&lt;$I285),"Yes","Late")))</x:f>
      </x:c>
      <x:c r="M285" s="66" t="str">
        <x:f>IF($A285="","",IF($L285&lt;&gt;"Yes",0,IF($E285="",0,IF($J285="",0,IF($H285="Group",IF($E285=$J285,Setup!$H$2,Setup!$H$3),IF($E285=$K285,Setup!$H$2,Setup!$H$3))))))</x:f>
      </x:c>
      <x:c r="N285" s="66" t="str">
        <x:f>IF($A285="","",IF($L285&lt;&gt;"Yes",0,IF(OR($F285="",$G285=""),0,IF(AND($F285=VLOOKUP($C285,Matches!$A$2:$Q$200,9,FALSE),$G285=VLOOKUP($C285,Matches!$A$2:$Q$200,10,FALSE)),Setup!$H$5,0))))</x:f>
      </x:c>
      <x:c r="O285" s="66" t="str">
        <x:f>IF($A285="","",$M285+$N285)</x:f>
      </x:c>
      <x:c r="P285" s="18" t="str">
        <x:f>IF($A285="","",IF($L285="Late","Late - 0 points",IF($J285="","Waiting for result",IF($O285&gt;0,"Scored",IF($O285&lt;0,"Wrong pick","No points")))))</x:f>
      </x:c>
    </x:row>
    <x:row r="286">
      <x:c r="A286" s="60" t="n">
        <x:f>'Form Responses 1'!A286</x:f>
        <x:v>0</x:v>
      </x:c>
      <x:c r="B286" s="18" t="n">
        <x:f>'Form Responses 1'!B286</x:f>
        <x:v>0</x:v>
      </x:c>
      <x:c r="C286" s="18" t="n">
        <x:f>'Form Responses 1'!C286</x:f>
        <x:v>0</x:v>
      </x:c>
      <x:c r="D286" s="18" t="n">
        <x:f>'Form Responses 1'!D286</x:f>
        <x:v>0</x:v>
      </x:c>
      <x:c r="E286" s="18" t="n">
        <x:f>'Form Responses 1'!E286</x:f>
        <x:v>0</x:v>
      </x:c>
      <x:c r="F286" s="18" t="n">
        <x:f>'Form Responses 1'!F286</x:f>
        <x:v>0</x:v>
      </x:c>
      <x:c r="G286" s="18" t="n">
        <x:f>'Form Responses 1'!G286</x:f>
        <x:v>0</x:v>
      </x:c>
      <x:c r="H286" s="18" t="str">
        <x:f>IF($C286="","",IFERROR(VLOOKUP($C286,Matches!$A$2:$Q$200,5,FALSE),"Unknown"))</x:f>
      </x:c>
      <x:c r="I286" s="60" t="str">
        <x:f>IF($C286="","",IFERROR(VLOOKUP($C286,Matches!$A$2:$Q$200,16,FALSE),""))</x:f>
      </x:c>
      <x:c r="J286" s="18" t="str">
        <x:f>IF($C286="","",IFERROR(VLOOKUP($C286,Matches!$A$2:$Q$200,11,FALSE),""))</x:f>
      </x:c>
      <x:c r="K286" s="18" t="str">
        <x:f>IF($C286="","",IFERROR(VLOOKUP($C286,Matches!$A$2:$Q$200,12,FALSE),""))</x:f>
      </x:c>
      <x:c r="L286" s="18" t="str">
        <x:f>IF($A286="","",IF($C286=1,"Yes",IF(OR($I286="",$A286&lt;$I286),"Yes","Late")))</x:f>
      </x:c>
      <x:c r="M286" s="66" t="str">
        <x:f>IF($A286="","",IF($L286&lt;&gt;"Yes",0,IF($E286="",0,IF($J286="",0,IF($H286="Group",IF($E286=$J286,Setup!$H$2,Setup!$H$3),IF($E286=$K286,Setup!$H$2,Setup!$H$3))))))</x:f>
      </x:c>
      <x:c r="N286" s="66" t="str">
        <x:f>IF($A286="","",IF($L286&lt;&gt;"Yes",0,IF(OR($F286="",$G286=""),0,IF(AND($F286=VLOOKUP($C286,Matches!$A$2:$Q$200,9,FALSE),$G286=VLOOKUP($C286,Matches!$A$2:$Q$200,10,FALSE)),Setup!$H$5,0))))</x:f>
      </x:c>
      <x:c r="O286" s="66" t="str">
        <x:f>IF($A286="","",$M286+$N286)</x:f>
      </x:c>
      <x:c r="P286" s="18" t="str">
        <x:f>IF($A286="","",IF($L286="Late","Late - 0 points",IF($J286="","Waiting for result",IF($O286&gt;0,"Scored",IF($O286&lt;0,"Wrong pick","No points")))))</x:f>
      </x:c>
    </x:row>
    <x:row r="287">
      <x:c r="A287" s="60" t="n">
        <x:f>'Form Responses 1'!A287</x:f>
        <x:v>0</x:v>
      </x:c>
      <x:c r="B287" s="18" t="n">
        <x:f>'Form Responses 1'!B287</x:f>
        <x:v>0</x:v>
      </x:c>
      <x:c r="C287" s="18" t="n">
        <x:f>'Form Responses 1'!C287</x:f>
        <x:v>0</x:v>
      </x:c>
      <x:c r="D287" s="18" t="n">
        <x:f>'Form Responses 1'!D287</x:f>
        <x:v>0</x:v>
      </x:c>
      <x:c r="E287" s="18" t="n">
        <x:f>'Form Responses 1'!E287</x:f>
        <x:v>0</x:v>
      </x:c>
      <x:c r="F287" s="18" t="n">
        <x:f>'Form Responses 1'!F287</x:f>
        <x:v>0</x:v>
      </x:c>
      <x:c r="G287" s="18" t="n">
        <x:f>'Form Responses 1'!G287</x:f>
        <x:v>0</x:v>
      </x:c>
      <x:c r="H287" s="18" t="str">
        <x:f>IF($C287="","",IFERROR(VLOOKUP($C287,Matches!$A$2:$Q$200,5,FALSE),"Unknown"))</x:f>
      </x:c>
      <x:c r="I287" s="60" t="str">
        <x:f>IF($C287="","",IFERROR(VLOOKUP($C287,Matches!$A$2:$Q$200,16,FALSE),""))</x:f>
      </x:c>
      <x:c r="J287" s="18" t="str">
        <x:f>IF($C287="","",IFERROR(VLOOKUP($C287,Matches!$A$2:$Q$200,11,FALSE),""))</x:f>
      </x:c>
      <x:c r="K287" s="18" t="str">
        <x:f>IF($C287="","",IFERROR(VLOOKUP($C287,Matches!$A$2:$Q$200,12,FALSE),""))</x:f>
      </x:c>
      <x:c r="L287" s="18" t="str">
        <x:f>IF($A287="","",IF($C287=1,"Yes",IF(OR($I287="",$A287&lt;$I287),"Yes","Late")))</x:f>
      </x:c>
      <x:c r="M287" s="66" t="str">
        <x:f>IF($A287="","",IF($L287&lt;&gt;"Yes",0,IF($E287="",0,IF($J287="",0,IF($H287="Group",IF($E287=$J287,Setup!$H$2,Setup!$H$3),IF($E287=$K287,Setup!$H$2,Setup!$H$3))))))</x:f>
      </x:c>
      <x:c r="N287" s="66" t="str">
        <x:f>IF($A287="","",IF($L287&lt;&gt;"Yes",0,IF(OR($F287="",$G287=""),0,IF(AND($F287=VLOOKUP($C287,Matches!$A$2:$Q$200,9,FALSE),$G287=VLOOKUP($C287,Matches!$A$2:$Q$200,10,FALSE)),Setup!$H$5,0))))</x:f>
      </x:c>
      <x:c r="O287" s="66" t="str">
        <x:f>IF($A287="","",$M287+$N287)</x:f>
      </x:c>
      <x:c r="P287" s="18" t="str">
        <x:f>IF($A287="","",IF($L287="Late","Late - 0 points",IF($J287="","Waiting for result",IF($O287&gt;0,"Scored",IF($O287&lt;0,"Wrong pick","No points")))))</x:f>
      </x:c>
    </x:row>
    <x:row r="288">
      <x:c r="A288" s="60" t="n">
        <x:f>'Form Responses 1'!A288</x:f>
        <x:v>0</x:v>
      </x:c>
      <x:c r="B288" s="18" t="n">
        <x:f>'Form Responses 1'!B288</x:f>
        <x:v>0</x:v>
      </x:c>
      <x:c r="C288" s="18" t="n">
        <x:f>'Form Responses 1'!C288</x:f>
        <x:v>0</x:v>
      </x:c>
      <x:c r="D288" s="18" t="n">
        <x:f>'Form Responses 1'!D288</x:f>
        <x:v>0</x:v>
      </x:c>
      <x:c r="E288" s="18" t="n">
        <x:f>'Form Responses 1'!E288</x:f>
        <x:v>0</x:v>
      </x:c>
      <x:c r="F288" s="18" t="n">
        <x:f>'Form Responses 1'!F288</x:f>
        <x:v>0</x:v>
      </x:c>
      <x:c r="G288" s="18" t="n">
        <x:f>'Form Responses 1'!G288</x:f>
        <x:v>0</x:v>
      </x:c>
      <x:c r="H288" s="18" t="str">
        <x:f>IF($C288="","",IFERROR(VLOOKUP($C288,Matches!$A$2:$Q$200,5,FALSE),"Unknown"))</x:f>
      </x:c>
      <x:c r="I288" s="60" t="str">
        <x:f>IF($C288="","",IFERROR(VLOOKUP($C288,Matches!$A$2:$Q$200,16,FALSE),""))</x:f>
      </x:c>
      <x:c r="J288" s="18" t="str">
        <x:f>IF($C288="","",IFERROR(VLOOKUP($C288,Matches!$A$2:$Q$200,11,FALSE),""))</x:f>
      </x:c>
      <x:c r="K288" s="18" t="str">
        <x:f>IF($C288="","",IFERROR(VLOOKUP($C288,Matches!$A$2:$Q$200,12,FALSE),""))</x:f>
      </x:c>
      <x:c r="L288" s="18" t="str">
        <x:f>IF($A288="","",IF($C288=1,"Yes",IF(OR($I288="",$A288&lt;$I288),"Yes","Late")))</x:f>
      </x:c>
      <x:c r="M288" s="66" t="str">
        <x:f>IF($A288="","",IF($L288&lt;&gt;"Yes",0,IF($E288="",0,IF($J288="",0,IF($H288="Group",IF($E288=$J288,Setup!$H$2,Setup!$H$3),IF($E288=$K288,Setup!$H$2,Setup!$H$3))))))</x:f>
      </x:c>
      <x:c r="N288" s="66" t="str">
        <x:f>IF($A288="","",IF($L288&lt;&gt;"Yes",0,IF(OR($F288="",$G288=""),0,IF(AND($F288=VLOOKUP($C288,Matches!$A$2:$Q$200,9,FALSE),$G288=VLOOKUP($C288,Matches!$A$2:$Q$200,10,FALSE)),Setup!$H$5,0))))</x:f>
      </x:c>
      <x:c r="O288" s="66" t="str">
        <x:f>IF($A288="","",$M288+$N288)</x:f>
      </x:c>
      <x:c r="P288" s="18" t="str">
        <x:f>IF($A288="","",IF($L288="Late","Late - 0 points",IF($J288="","Waiting for result",IF($O288&gt;0,"Scored",IF($O288&lt;0,"Wrong pick","No points")))))</x:f>
      </x:c>
    </x:row>
    <x:row r="289">
      <x:c r="A289" s="60" t="n">
        <x:f>'Form Responses 1'!A289</x:f>
        <x:v>0</x:v>
      </x:c>
      <x:c r="B289" s="18" t="n">
        <x:f>'Form Responses 1'!B289</x:f>
        <x:v>0</x:v>
      </x:c>
      <x:c r="C289" s="18" t="n">
        <x:f>'Form Responses 1'!C289</x:f>
        <x:v>0</x:v>
      </x:c>
      <x:c r="D289" s="18" t="n">
        <x:f>'Form Responses 1'!D289</x:f>
        <x:v>0</x:v>
      </x:c>
      <x:c r="E289" s="18" t="n">
        <x:f>'Form Responses 1'!E289</x:f>
        <x:v>0</x:v>
      </x:c>
      <x:c r="F289" s="18" t="n">
        <x:f>'Form Responses 1'!F289</x:f>
        <x:v>0</x:v>
      </x:c>
      <x:c r="G289" s="18" t="n">
        <x:f>'Form Responses 1'!G289</x:f>
        <x:v>0</x:v>
      </x:c>
      <x:c r="H289" s="18" t="str">
        <x:f>IF($C289="","",IFERROR(VLOOKUP($C289,Matches!$A$2:$Q$200,5,FALSE),"Unknown"))</x:f>
      </x:c>
      <x:c r="I289" s="60" t="str">
        <x:f>IF($C289="","",IFERROR(VLOOKUP($C289,Matches!$A$2:$Q$200,16,FALSE),""))</x:f>
      </x:c>
      <x:c r="J289" s="18" t="str">
        <x:f>IF($C289="","",IFERROR(VLOOKUP($C289,Matches!$A$2:$Q$200,11,FALSE),""))</x:f>
      </x:c>
      <x:c r="K289" s="18" t="str">
        <x:f>IF($C289="","",IFERROR(VLOOKUP($C289,Matches!$A$2:$Q$200,12,FALSE),""))</x:f>
      </x:c>
      <x:c r="L289" s="18" t="str">
        <x:f>IF($A289="","",IF($C289=1,"Yes",IF(OR($I289="",$A289&lt;$I289),"Yes","Late")))</x:f>
      </x:c>
      <x:c r="M289" s="66" t="str">
        <x:f>IF($A289="","",IF($L289&lt;&gt;"Yes",0,IF($E289="",0,IF($J289="",0,IF($H289="Group",IF($E289=$J289,Setup!$H$2,Setup!$H$3),IF($E289=$K289,Setup!$H$2,Setup!$H$3))))))</x:f>
      </x:c>
      <x:c r="N289" s="66" t="str">
        <x:f>IF($A289="","",IF($L289&lt;&gt;"Yes",0,IF(OR($F289="",$G289=""),0,IF(AND($F289=VLOOKUP($C289,Matches!$A$2:$Q$200,9,FALSE),$G289=VLOOKUP($C289,Matches!$A$2:$Q$200,10,FALSE)),Setup!$H$5,0))))</x:f>
      </x:c>
      <x:c r="O289" s="66" t="str">
        <x:f>IF($A289="","",$M289+$N289)</x:f>
      </x:c>
      <x:c r="P289" s="18" t="str">
        <x:f>IF($A289="","",IF($L289="Late","Late - 0 points",IF($J289="","Waiting for result",IF($O289&gt;0,"Scored",IF($O289&lt;0,"Wrong pick","No points")))))</x:f>
      </x:c>
    </x:row>
    <x:row r="290">
      <x:c r="A290" s="60" t="n">
        <x:f>'Form Responses 1'!A290</x:f>
        <x:v>0</x:v>
      </x:c>
      <x:c r="B290" s="18" t="n">
        <x:f>'Form Responses 1'!B290</x:f>
        <x:v>0</x:v>
      </x:c>
      <x:c r="C290" s="18" t="n">
        <x:f>'Form Responses 1'!C290</x:f>
        <x:v>0</x:v>
      </x:c>
      <x:c r="D290" s="18" t="n">
        <x:f>'Form Responses 1'!D290</x:f>
        <x:v>0</x:v>
      </x:c>
      <x:c r="E290" s="18" t="n">
        <x:f>'Form Responses 1'!E290</x:f>
        <x:v>0</x:v>
      </x:c>
      <x:c r="F290" s="18" t="n">
        <x:f>'Form Responses 1'!F290</x:f>
        <x:v>0</x:v>
      </x:c>
      <x:c r="G290" s="18" t="n">
        <x:f>'Form Responses 1'!G290</x:f>
        <x:v>0</x:v>
      </x:c>
      <x:c r="H290" s="18" t="str">
        <x:f>IF($C290="","",IFERROR(VLOOKUP($C290,Matches!$A$2:$Q$200,5,FALSE),"Unknown"))</x:f>
      </x:c>
      <x:c r="I290" s="60" t="str">
        <x:f>IF($C290="","",IFERROR(VLOOKUP($C290,Matches!$A$2:$Q$200,16,FALSE),""))</x:f>
      </x:c>
      <x:c r="J290" s="18" t="str">
        <x:f>IF($C290="","",IFERROR(VLOOKUP($C290,Matches!$A$2:$Q$200,11,FALSE),""))</x:f>
      </x:c>
      <x:c r="K290" s="18" t="str">
        <x:f>IF($C290="","",IFERROR(VLOOKUP($C290,Matches!$A$2:$Q$200,12,FALSE),""))</x:f>
      </x:c>
      <x:c r="L290" s="18" t="str">
        <x:f>IF($A290="","",IF($C290=1,"Yes",IF(OR($I290="",$A290&lt;$I290),"Yes","Late")))</x:f>
      </x:c>
      <x:c r="M290" s="66" t="str">
        <x:f>IF($A290="","",IF($L290&lt;&gt;"Yes",0,IF($E290="",0,IF($J290="",0,IF($H290="Group",IF($E290=$J290,Setup!$H$2,Setup!$H$3),IF($E290=$K290,Setup!$H$2,Setup!$H$3))))))</x:f>
      </x:c>
      <x:c r="N290" s="66" t="str">
        <x:f>IF($A290="","",IF($L290&lt;&gt;"Yes",0,IF(OR($F290="",$G290=""),0,IF(AND($F290=VLOOKUP($C290,Matches!$A$2:$Q$200,9,FALSE),$G290=VLOOKUP($C290,Matches!$A$2:$Q$200,10,FALSE)),Setup!$H$5,0))))</x:f>
      </x:c>
      <x:c r="O290" s="66" t="str">
        <x:f>IF($A290="","",$M290+$N290)</x:f>
      </x:c>
      <x:c r="P290" s="18" t="str">
        <x:f>IF($A290="","",IF($L290="Late","Late - 0 points",IF($J290="","Waiting for result",IF($O290&gt;0,"Scored",IF($O290&lt;0,"Wrong pick","No points")))))</x:f>
      </x:c>
    </x:row>
    <x:row r="291">
      <x:c r="A291" s="60" t="n">
        <x:f>'Form Responses 1'!A291</x:f>
        <x:v>0</x:v>
      </x:c>
      <x:c r="B291" s="18" t="n">
        <x:f>'Form Responses 1'!B291</x:f>
        <x:v>0</x:v>
      </x:c>
      <x:c r="C291" s="18" t="n">
        <x:f>'Form Responses 1'!C291</x:f>
        <x:v>0</x:v>
      </x:c>
      <x:c r="D291" s="18" t="n">
        <x:f>'Form Responses 1'!D291</x:f>
        <x:v>0</x:v>
      </x:c>
      <x:c r="E291" s="18" t="n">
        <x:f>'Form Responses 1'!E291</x:f>
        <x:v>0</x:v>
      </x:c>
      <x:c r="F291" s="18" t="n">
        <x:f>'Form Responses 1'!F291</x:f>
        <x:v>0</x:v>
      </x:c>
      <x:c r="G291" s="18" t="n">
        <x:f>'Form Responses 1'!G291</x:f>
        <x:v>0</x:v>
      </x:c>
      <x:c r="H291" s="18" t="str">
        <x:f>IF($C291="","",IFERROR(VLOOKUP($C291,Matches!$A$2:$Q$200,5,FALSE),"Unknown"))</x:f>
      </x:c>
      <x:c r="I291" s="60" t="str">
        <x:f>IF($C291="","",IFERROR(VLOOKUP($C291,Matches!$A$2:$Q$200,16,FALSE),""))</x:f>
      </x:c>
      <x:c r="J291" s="18" t="str">
        <x:f>IF($C291="","",IFERROR(VLOOKUP($C291,Matches!$A$2:$Q$200,11,FALSE),""))</x:f>
      </x:c>
      <x:c r="K291" s="18" t="str">
        <x:f>IF($C291="","",IFERROR(VLOOKUP($C291,Matches!$A$2:$Q$200,12,FALSE),""))</x:f>
      </x:c>
      <x:c r="L291" s="18" t="str">
        <x:f>IF($A291="","",IF($C291=1,"Yes",IF(OR($I291="",$A291&lt;$I291),"Yes","Late")))</x:f>
      </x:c>
      <x:c r="M291" s="66" t="str">
        <x:f>IF($A291="","",IF($L291&lt;&gt;"Yes",0,IF($E291="",0,IF($J291="",0,IF($H291="Group",IF($E291=$J291,Setup!$H$2,Setup!$H$3),IF($E291=$K291,Setup!$H$2,Setup!$H$3))))))</x:f>
      </x:c>
      <x:c r="N291" s="66" t="str">
        <x:f>IF($A291="","",IF($L291&lt;&gt;"Yes",0,IF(OR($F291="",$G291=""),0,IF(AND($F291=VLOOKUP($C291,Matches!$A$2:$Q$200,9,FALSE),$G291=VLOOKUP($C291,Matches!$A$2:$Q$200,10,FALSE)),Setup!$H$5,0))))</x:f>
      </x:c>
      <x:c r="O291" s="66" t="str">
        <x:f>IF($A291="","",$M291+$N291)</x:f>
      </x:c>
      <x:c r="P291" s="18" t="str">
        <x:f>IF($A291="","",IF($L291="Late","Late - 0 points",IF($J291="","Waiting for result",IF($O291&gt;0,"Scored",IF($O291&lt;0,"Wrong pick","No points")))))</x:f>
      </x:c>
    </x:row>
    <x:row r="292">
      <x:c r="A292" s="60" t="n">
        <x:f>'Form Responses 1'!A292</x:f>
        <x:v>0</x:v>
      </x:c>
      <x:c r="B292" s="18" t="n">
        <x:f>'Form Responses 1'!B292</x:f>
        <x:v>0</x:v>
      </x:c>
      <x:c r="C292" s="18" t="n">
        <x:f>'Form Responses 1'!C292</x:f>
        <x:v>0</x:v>
      </x:c>
      <x:c r="D292" s="18" t="n">
        <x:f>'Form Responses 1'!D292</x:f>
        <x:v>0</x:v>
      </x:c>
      <x:c r="E292" s="18" t="n">
        <x:f>'Form Responses 1'!E292</x:f>
        <x:v>0</x:v>
      </x:c>
      <x:c r="F292" s="18" t="n">
        <x:f>'Form Responses 1'!F292</x:f>
        <x:v>0</x:v>
      </x:c>
      <x:c r="G292" s="18" t="n">
        <x:f>'Form Responses 1'!G292</x:f>
        <x:v>0</x:v>
      </x:c>
      <x:c r="H292" s="18" t="str">
        <x:f>IF($C292="","",IFERROR(VLOOKUP($C292,Matches!$A$2:$Q$200,5,FALSE),"Unknown"))</x:f>
      </x:c>
      <x:c r="I292" s="60" t="str">
        <x:f>IF($C292="","",IFERROR(VLOOKUP($C292,Matches!$A$2:$Q$200,16,FALSE),""))</x:f>
      </x:c>
      <x:c r="J292" s="18" t="str">
        <x:f>IF($C292="","",IFERROR(VLOOKUP($C292,Matches!$A$2:$Q$200,11,FALSE),""))</x:f>
      </x:c>
      <x:c r="K292" s="18" t="str">
        <x:f>IF($C292="","",IFERROR(VLOOKUP($C292,Matches!$A$2:$Q$200,12,FALSE),""))</x:f>
      </x:c>
      <x:c r="L292" s="18" t="str">
        <x:f>IF($A292="","",IF($C292=1,"Yes",IF(OR($I292="",$A292&lt;$I292),"Yes","Late")))</x:f>
      </x:c>
      <x:c r="M292" s="66" t="str">
        <x:f>IF($A292="","",IF($L292&lt;&gt;"Yes",0,IF($E292="",0,IF($J292="",0,IF($H292="Group",IF($E292=$J292,Setup!$H$2,Setup!$H$3),IF($E292=$K292,Setup!$H$2,Setup!$H$3))))))</x:f>
      </x:c>
      <x:c r="N292" s="66" t="str">
        <x:f>IF($A292="","",IF($L292&lt;&gt;"Yes",0,IF(OR($F292="",$G292=""),0,IF(AND($F292=VLOOKUP($C292,Matches!$A$2:$Q$200,9,FALSE),$G292=VLOOKUP($C292,Matches!$A$2:$Q$200,10,FALSE)),Setup!$H$5,0))))</x:f>
      </x:c>
      <x:c r="O292" s="66" t="str">
        <x:f>IF($A292="","",$M292+$N292)</x:f>
      </x:c>
      <x:c r="P292" s="18" t="str">
        <x:f>IF($A292="","",IF($L292="Late","Late - 0 points",IF($J292="","Waiting for result",IF($O292&gt;0,"Scored",IF($O292&lt;0,"Wrong pick","No points")))))</x:f>
      </x:c>
    </x:row>
    <x:row r="293">
      <x:c r="A293" s="60" t="n">
        <x:f>'Form Responses 1'!A293</x:f>
        <x:v>0</x:v>
      </x:c>
      <x:c r="B293" s="18" t="n">
        <x:f>'Form Responses 1'!B293</x:f>
        <x:v>0</x:v>
      </x:c>
      <x:c r="C293" s="18" t="n">
        <x:f>'Form Responses 1'!C293</x:f>
        <x:v>0</x:v>
      </x:c>
      <x:c r="D293" s="18" t="n">
        <x:f>'Form Responses 1'!D293</x:f>
        <x:v>0</x:v>
      </x:c>
      <x:c r="E293" s="18" t="n">
        <x:f>'Form Responses 1'!E293</x:f>
        <x:v>0</x:v>
      </x:c>
      <x:c r="F293" s="18" t="n">
        <x:f>'Form Responses 1'!F293</x:f>
        <x:v>0</x:v>
      </x:c>
      <x:c r="G293" s="18" t="n">
        <x:f>'Form Responses 1'!G293</x:f>
        <x:v>0</x:v>
      </x:c>
      <x:c r="H293" s="18" t="str">
        <x:f>IF($C293="","",IFERROR(VLOOKUP($C293,Matches!$A$2:$Q$200,5,FALSE),"Unknown"))</x:f>
      </x:c>
      <x:c r="I293" s="60" t="str">
        <x:f>IF($C293="","",IFERROR(VLOOKUP($C293,Matches!$A$2:$Q$200,16,FALSE),""))</x:f>
      </x:c>
      <x:c r="J293" s="18" t="str">
        <x:f>IF($C293="","",IFERROR(VLOOKUP($C293,Matches!$A$2:$Q$200,11,FALSE),""))</x:f>
      </x:c>
      <x:c r="K293" s="18" t="str">
        <x:f>IF($C293="","",IFERROR(VLOOKUP($C293,Matches!$A$2:$Q$200,12,FALSE),""))</x:f>
      </x:c>
      <x:c r="L293" s="18" t="str">
        <x:f>IF($A293="","",IF($C293=1,"Yes",IF(OR($I293="",$A293&lt;$I293),"Yes","Late")))</x:f>
      </x:c>
      <x:c r="M293" s="66" t="str">
        <x:f>IF($A293="","",IF($L293&lt;&gt;"Yes",0,IF($E293="",0,IF($J293="",0,IF($H293="Group",IF($E293=$J293,Setup!$H$2,Setup!$H$3),IF($E293=$K293,Setup!$H$2,Setup!$H$3))))))</x:f>
      </x:c>
      <x:c r="N293" s="66" t="str">
        <x:f>IF($A293="","",IF($L293&lt;&gt;"Yes",0,IF(OR($F293="",$G293=""),0,IF(AND($F293=VLOOKUP($C293,Matches!$A$2:$Q$200,9,FALSE),$G293=VLOOKUP($C293,Matches!$A$2:$Q$200,10,FALSE)),Setup!$H$5,0))))</x:f>
      </x:c>
      <x:c r="O293" s="66" t="str">
        <x:f>IF($A293="","",$M293+$N293)</x:f>
      </x:c>
      <x:c r="P293" s="18" t="str">
        <x:f>IF($A293="","",IF($L293="Late","Late - 0 points",IF($J293="","Waiting for result",IF($O293&gt;0,"Scored",IF($O293&lt;0,"Wrong pick","No points")))))</x:f>
      </x:c>
    </x:row>
    <x:row r="294">
      <x:c r="A294" s="60" t="n">
        <x:f>'Form Responses 1'!A294</x:f>
        <x:v>0</x:v>
      </x:c>
      <x:c r="B294" s="18" t="n">
        <x:f>'Form Responses 1'!B294</x:f>
        <x:v>0</x:v>
      </x:c>
      <x:c r="C294" s="18" t="n">
        <x:f>'Form Responses 1'!C294</x:f>
        <x:v>0</x:v>
      </x:c>
      <x:c r="D294" s="18" t="n">
        <x:f>'Form Responses 1'!D294</x:f>
        <x:v>0</x:v>
      </x:c>
      <x:c r="E294" s="18" t="n">
        <x:f>'Form Responses 1'!E294</x:f>
        <x:v>0</x:v>
      </x:c>
      <x:c r="F294" s="18" t="n">
        <x:f>'Form Responses 1'!F294</x:f>
        <x:v>0</x:v>
      </x:c>
      <x:c r="G294" s="18" t="n">
        <x:f>'Form Responses 1'!G294</x:f>
        <x:v>0</x:v>
      </x:c>
      <x:c r="H294" s="18" t="str">
        <x:f>IF($C294="","",IFERROR(VLOOKUP($C294,Matches!$A$2:$Q$200,5,FALSE),"Unknown"))</x:f>
      </x:c>
      <x:c r="I294" s="60" t="str">
        <x:f>IF($C294="","",IFERROR(VLOOKUP($C294,Matches!$A$2:$Q$200,16,FALSE),""))</x:f>
      </x:c>
      <x:c r="J294" s="18" t="str">
        <x:f>IF($C294="","",IFERROR(VLOOKUP($C294,Matches!$A$2:$Q$200,11,FALSE),""))</x:f>
      </x:c>
      <x:c r="K294" s="18" t="str">
        <x:f>IF($C294="","",IFERROR(VLOOKUP($C294,Matches!$A$2:$Q$200,12,FALSE),""))</x:f>
      </x:c>
      <x:c r="L294" s="18" t="str">
        <x:f>IF($A294="","",IF($C294=1,"Yes",IF(OR($I294="",$A294&lt;$I294),"Yes","Late")))</x:f>
      </x:c>
      <x:c r="M294" s="66" t="str">
        <x:f>IF($A294="","",IF($L294&lt;&gt;"Yes",0,IF($E294="",0,IF($J294="",0,IF($H294="Group",IF($E294=$J294,Setup!$H$2,Setup!$H$3),IF($E294=$K294,Setup!$H$2,Setup!$H$3))))))</x:f>
      </x:c>
      <x:c r="N294" s="66" t="str">
        <x:f>IF($A294="","",IF($L294&lt;&gt;"Yes",0,IF(OR($F294="",$G294=""),0,IF(AND($F294=VLOOKUP($C294,Matches!$A$2:$Q$200,9,FALSE),$G294=VLOOKUP($C294,Matches!$A$2:$Q$200,10,FALSE)),Setup!$H$5,0))))</x:f>
      </x:c>
      <x:c r="O294" s="66" t="str">
        <x:f>IF($A294="","",$M294+$N294)</x:f>
      </x:c>
      <x:c r="P294" s="18" t="str">
        <x:f>IF($A294="","",IF($L294="Late","Late - 0 points",IF($J294="","Waiting for result",IF($O294&gt;0,"Scored",IF($O294&lt;0,"Wrong pick","No points")))))</x:f>
      </x:c>
    </x:row>
    <x:row r="295">
      <x:c r="A295" s="60" t="n">
        <x:f>'Form Responses 1'!A295</x:f>
        <x:v>0</x:v>
      </x:c>
      <x:c r="B295" s="18" t="n">
        <x:f>'Form Responses 1'!B295</x:f>
        <x:v>0</x:v>
      </x:c>
      <x:c r="C295" s="18" t="n">
        <x:f>'Form Responses 1'!C295</x:f>
        <x:v>0</x:v>
      </x:c>
      <x:c r="D295" s="18" t="n">
        <x:f>'Form Responses 1'!D295</x:f>
        <x:v>0</x:v>
      </x:c>
      <x:c r="E295" s="18" t="n">
        <x:f>'Form Responses 1'!E295</x:f>
        <x:v>0</x:v>
      </x:c>
      <x:c r="F295" s="18" t="n">
        <x:f>'Form Responses 1'!F295</x:f>
        <x:v>0</x:v>
      </x:c>
      <x:c r="G295" s="18" t="n">
        <x:f>'Form Responses 1'!G295</x:f>
        <x:v>0</x:v>
      </x:c>
      <x:c r="H295" s="18" t="str">
        <x:f>IF($C295="","",IFERROR(VLOOKUP($C295,Matches!$A$2:$Q$200,5,FALSE),"Unknown"))</x:f>
      </x:c>
      <x:c r="I295" s="60" t="str">
        <x:f>IF($C295="","",IFERROR(VLOOKUP($C295,Matches!$A$2:$Q$200,16,FALSE),""))</x:f>
      </x:c>
      <x:c r="J295" s="18" t="str">
        <x:f>IF($C295="","",IFERROR(VLOOKUP($C295,Matches!$A$2:$Q$200,11,FALSE),""))</x:f>
      </x:c>
      <x:c r="K295" s="18" t="str">
        <x:f>IF($C295="","",IFERROR(VLOOKUP($C295,Matches!$A$2:$Q$200,12,FALSE),""))</x:f>
      </x:c>
      <x:c r="L295" s="18" t="str">
        <x:f>IF($A295="","",IF($C295=1,"Yes",IF(OR($I295="",$A295&lt;$I295),"Yes","Late")))</x:f>
      </x:c>
      <x:c r="M295" s="66" t="str">
        <x:f>IF($A295="","",IF($L295&lt;&gt;"Yes",0,IF($E295="",0,IF($J295="",0,IF($H295="Group",IF($E295=$J295,Setup!$H$2,Setup!$H$3),IF($E295=$K295,Setup!$H$2,Setup!$H$3))))))</x:f>
      </x:c>
      <x:c r="N295" s="66" t="str">
        <x:f>IF($A295="","",IF($L295&lt;&gt;"Yes",0,IF(OR($F295="",$G295=""),0,IF(AND($F295=VLOOKUP($C295,Matches!$A$2:$Q$200,9,FALSE),$G295=VLOOKUP($C295,Matches!$A$2:$Q$200,10,FALSE)),Setup!$H$5,0))))</x:f>
      </x:c>
      <x:c r="O295" s="66" t="str">
        <x:f>IF($A295="","",$M295+$N295)</x:f>
      </x:c>
      <x:c r="P295" s="18" t="str">
        <x:f>IF($A295="","",IF($L295="Late","Late - 0 points",IF($J295="","Waiting for result",IF($O295&gt;0,"Scored",IF($O295&lt;0,"Wrong pick","No points")))))</x:f>
      </x:c>
    </x:row>
    <x:row r="296">
      <x:c r="A296" s="60" t="n">
        <x:f>'Form Responses 1'!A296</x:f>
        <x:v>0</x:v>
      </x:c>
      <x:c r="B296" s="18" t="n">
        <x:f>'Form Responses 1'!B296</x:f>
        <x:v>0</x:v>
      </x:c>
      <x:c r="C296" s="18" t="n">
        <x:f>'Form Responses 1'!C296</x:f>
        <x:v>0</x:v>
      </x:c>
      <x:c r="D296" s="18" t="n">
        <x:f>'Form Responses 1'!D296</x:f>
        <x:v>0</x:v>
      </x:c>
      <x:c r="E296" s="18" t="n">
        <x:f>'Form Responses 1'!E296</x:f>
        <x:v>0</x:v>
      </x:c>
      <x:c r="F296" s="18" t="n">
        <x:f>'Form Responses 1'!F296</x:f>
        <x:v>0</x:v>
      </x:c>
      <x:c r="G296" s="18" t="n">
        <x:f>'Form Responses 1'!G296</x:f>
        <x:v>0</x:v>
      </x:c>
      <x:c r="H296" s="18" t="str">
        <x:f>IF($C296="","",IFERROR(VLOOKUP($C296,Matches!$A$2:$Q$200,5,FALSE),"Unknown"))</x:f>
      </x:c>
      <x:c r="I296" s="60" t="str">
        <x:f>IF($C296="","",IFERROR(VLOOKUP($C296,Matches!$A$2:$Q$200,16,FALSE),""))</x:f>
      </x:c>
      <x:c r="J296" s="18" t="str">
        <x:f>IF($C296="","",IFERROR(VLOOKUP($C296,Matches!$A$2:$Q$200,11,FALSE),""))</x:f>
      </x:c>
      <x:c r="K296" s="18" t="str">
        <x:f>IF($C296="","",IFERROR(VLOOKUP($C296,Matches!$A$2:$Q$200,12,FALSE),""))</x:f>
      </x:c>
      <x:c r="L296" s="18" t="str">
        <x:f>IF($A296="","",IF($C296=1,"Yes",IF(OR($I296="",$A296&lt;$I296),"Yes","Late")))</x:f>
      </x:c>
      <x:c r="M296" s="66" t="str">
        <x:f>IF($A296="","",IF($L296&lt;&gt;"Yes",0,IF($E296="",0,IF($J296="",0,IF($H296="Group",IF($E296=$J296,Setup!$H$2,Setup!$H$3),IF($E296=$K296,Setup!$H$2,Setup!$H$3))))))</x:f>
      </x:c>
      <x:c r="N296" s="66" t="str">
        <x:f>IF($A296="","",IF($L296&lt;&gt;"Yes",0,IF(OR($F296="",$G296=""),0,IF(AND($F296=VLOOKUP($C296,Matches!$A$2:$Q$200,9,FALSE),$G296=VLOOKUP($C296,Matches!$A$2:$Q$200,10,FALSE)),Setup!$H$5,0))))</x:f>
      </x:c>
      <x:c r="O296" s="66" t="str">
        <x:f>IF($A296="","",$M296+$N296)</x:f>
      </x:c>
      <x:c r="P296" s="18" t="str">
        <x:f>IF($A296="","",IF($L296="Late","Late - 0 points",IF($J296="","Waiting for result",IF($O296&gt;0,"Scored",IF($O296&lt;0,"Wrong pick","No points")))))</x:f>
      </x:c>
    </x:row>
    <x:row r="297">
      <x:c r="A297" s="60" t="n">
        <x:f>'Form Responses 1'!A297</x:f>
        <x:v>0</x:v>
      </x:c>
      <x:c r="B297" s="18" t="n">
        <x:f>'Form Responses 1'!B297</x:f>
        <x:v>0</x:v>
      </x:c>
      <x:c r="C297" s="18" t="n">
        <x:f>'Form Responses 1'!C297</x:f>
        <x:v>0</x:v>
      </x:c>
      <x:c r="D297" s="18" t="n">
        <x:f>'Form Responses 1'!D297</x:f>
        <x:v>0</x:v>
      </x:c>
      <x:c r="E297" s="18" t="n">
        <x:f>'Form Responses 1'!E297</x:f>
        <x:v>0</x:v>
      </x:c>
      <x:c r="F297" s="18" t="n">
        <x:f>'Form Responses 1'!F297</x:f>
        <x:v>0</x:v>
      </x:c>
      <x:c r="G297" s="18" t="n">
        <x:f>'Form Responses 1'!G297</x:f>
        <x:v>0</x:v>
      </x:c>
      <x:c r="H297" s="18" t="str">
        <x:f>IF($C297="","",IFERROR(VLOOKUP($C297,Matches!$A$2:$Q$200,5,FALSE),"Unknown"))</x:f>
      </x:c>
      <x:c r="I297" s="60" t="str">
        <x:f>IF($C297="","",IFERROR(VLOOKUP($C297,Matches!$A$2:$Q$200,16,FALSE),""))</x:f>
      </x:c>
      <x:c r="J297" s="18" t="str">
        <x:f>IF($C297="","",IFERROR(VLOOKUP($C297,Matches!$A$2:$Q$200,11,FALSE),""))</x:f>
      </x:c>
      <x:c r="K297" s="18" t="str">
        <x:f>IF($C297="","",IFERROR(VLOOKUP($C297,Matches!$A$2:$Q$200,12,FALSE),""))</x:f>
      </x:c>
      <x:c r="L297" s="18" t="str">
        <x:f>IF($A297="","",IF($C297=1,"Yes",IF(OR($I297="",$A297&lt;$I297),"Yes","Late")))</x:f>
      </x:c>
      <x:c r="M297" s="66" t="str">
        <x:f>IF($A297="","",IF($L297&lt;&gt;"Yes",0,IF($E297="",0,IF($J297="",0,IF($H297="Group",IF($E297=$J297,Setup!$H$2,Setup!$H$3),IF($E297=$K297,Setup!$H$2,Setup!$H$3))))))</x:f>
      </x:c>
      <x:c r="N297" s="66" t="str">
        <x:f>IF($A297="","",IF($L297&lt;&gt;"Yes",0,IF(OR($F297="",$G297=""),0,IF(AND($F297=VLOOKUP($C297,Matches!$A$2:$Q$200,9,FALSE),$G297=VLOOKUP($C297,Matches!$A$2:$Q$200,10,FALSE)),Setup!$H$5,0))))</x:f>
      </x:c>
      <x:c r="O297" s="66" t="str">
        <x:f>IF($A297="","",$M297+$N297)</x:f>
      </x:c>
      <x:c r="P297" s="18" t="str">
        <x:f>IF($A297="","",IF($L297="Late","Late - 0 points",IF($J297="","Waiting for result",IF($O297&gt;0,"Scored",IF($O297&lt;0,"Wrong pick","No points")))))</x:f>
      </x:c>
    </x:row>
    <x:row r="298">
      <x:c r="A298" s="60" t="n">
        <x:f>'Form Responses 1'!A298</x:f>
        <x:v>0</x:v>
      </x:c>
      <x:c r="B298" s="18" t="n">
        <x:f>'Form Responses 1'!B298</x:f>
        <x:v>0</x:v>
      </x:c>
      <x:c r="C298" s="18" t="n">
        <x:f>'Form Responses 1'!C298</x:f>
        <x:v>0</x:v>
      </x:c>
      <x:c r="D298" s="18" t="n">
        <x:f>'Form Responses 1'!D298</x:f>
        <x:v>0</x:v>
      </x:c>
      <x:c r="E298" s="18" t="n">
        <x:f>'Form Responses 1'!E298</x:f>
        <x:v>0</x:v>
      </x:c>
      <x:c r="F298" s="18" t="n">
        <x:f>'Form Responses 1'!F298</x:f>
        <x:v>0</x:v>
      </x:c>
      <x:c r="G298" s="18" t="n">
        <x:f>'Form Responses 1'!G298</x:f>
        <x:v>0</x:v>
      </x:c>
      <x:c r="H298" s="18" t="str">
        <x:f>IF($C298="","",IFERROR(VLOOKUP($C298,Matches!$A$2:$Q$200,5,FALSE),"Unknown"))</x:f>
      </x:c>
      <x:c r="I298" s="60" t="str">
        <x:f>IF($C298="","",IFERROR(VLOOKUP($C298,Matches!$A$2:$Q$200,16,FALSE),""))</x:f>
      </x:c>
      <x:c r="J298" s="18" t="str">
        <x:f>IF($C298="","",IFERROR(VLOOKUP($C298,Matches!$A$2:$Q$200,11,FALSE),""))</x:f>
      </x:c>
      <x:c r="K298" s="18" t="str">
        <x:f>IF($C298="","",IFERROR(VLOOKUP($C298,Matches!$A$2:$Q$200,12,FALSE),""))</x:f>
      </x:c>
      <x:c r="L298" s="18" t="str">
        <x:f>IF($A298="","",IF($C298=1,"Yes",IF(OR($I298="",$A298&lt;$I298),"Yes","Late")))</x:f>
      </x:c>
      <x:c r="M298" s="66" t="str">
        <x:f>IF($A298="","",IF($L298&lt;&gt;"Yes",0,IF($E298="",0,IF($J298="",0,IF($H298="Group",IF($E298=$J298,Setup!$H$2,Setup!$H$3),IF($E298=$K298,Setup!$H$2,Setup!$H$3))))))</x:f>
      </x:c>
      <x:c r="N298" s="66" t="str">
        <x:f>IF($A298="","",IF($L298&lt;&gt;"Yes",0,IF(OR($F298="",$G298=""),0,IF(AND($F298=VLOOKUP($C298,Matches!$A$2:$Q$200,9,FALSE),$G298=VLOOKUP($C298,Matches!$A$2:$Q$200,10,FALSE)),Setup!$H$5,0))))</x:f>
      </x:c>
      <x:c r="O298" s="66" t="str">
        <x:f>IF($A298="","",$M298+$N298)</x:f>
      </x:c>
      <x:c r="P298" s="18" t="str">
        <x:f>IF($A298="","",IF($L298="Late","Late - 0 points",IF($J298="","Waiting for result",IF($O298&gt;0,"Scored",IF($O298&lt;0,"Wrong pick","No points")))))</x:f>
      </x:c>
    </x:row>
    <x:row r="299">
      <x:c r="A299" s="60" t="n">
        <x:f>'Form Responses 1'!A299</x:f>
        <x:v>0</x:v>
      </x:c>
      <x:c r="B299" s="18" t="n">
        <x:f>'Form Responses 1'!B299</x:f>
        <x:v>0</x:v>
      </x:c>
      <x:c r="C299" s="18" t="n">
        <x:f>'Form Responses 1'!C299</x:f>
        <x:v>0</x:v>
      </x:c>
      <x:c r="D299" s="18" t="n">
        <x:f>'Form Responses 1'!D299</x:f>
        <x:v>0</x:v>
      </x:c>
      <x:c r="E299" s="18" t="n">
        <x:f>'Form Responses 1'!E299</x:f>
        <x:v>0</x:v>
      </x:c>
      <x:c r="F299" s="18" t="n">
        <x:f>'Form Responses 1'!F299</x:f>
        <x:v>0</x:v>
      </x:c>
      <x:c r="G299" s="18" t="n">
        <x:f>'Form Responses 1'!G299</x:f>
        <x:v>0</x:v>
      </x:c>
      <x:c r="H299" s="18" t="str">
        <x:f>IF($C299="","",IFERROR(VLOOKUP($C299,Matches!$A$2:$Q$200,5,FALSE),"Unknown"))</x:f>
      </x:c>
      <x:c r="I299" s="60" t="str">
        <x:f>IF($C299="","",IFERROR(VLOOKUP($C299,Matches!$A$2:$Q$200,16,FALSE),""))</x:f>
      </x:c>
      <x:c r="J299" s="18" t="str">
        <x:f>IF($C299="","",IFERROR(VLOOKUP($C299,Matches!$A$2:$Q$200,11,FALSE),""))</x:f>
      </x:c>
      <x:c r="K299" s="18" t="str">
        <x:f>IF($C299="","",IFERROR(VLOOKUP($C299,Matches!$A$2:$Q$200,12,FALSE),""))</x:f>
      </x:c>
      <x:c r="L299" s="18" t="str">
        <x:f>IF($A299="","",IF($C299=1,"Yes",IF(OR($I299="",$A299&lt;$I299),"Yes","Late")))</x:f>
      </x:c>
      <x:c r="M299" s="66" t="str">
        <x:f>IF($A299="","",IF($L299&lt;&gt;"Yes",0,IF($E299="",0,IF($J299="",0,IF($H299="Group",IF($E299=$J299,Setup!$H$2,Setup!$H$3),IF($E299=$K299,Setup!$H$2,Setup!$H$3))))))</x:f>
      </x:c>
      <x:c r="N299" s="66" t="str">
        <x:f>IF($A299="","",IF($L299&lt;&gt;"Yes",0,IF(OR($F299="",$G299=""),0,IF(AND($F299=VLOOKUP($C299,Matches!$A$2:$Q$200,9,FALSE),$G299=VLOOKUP($C299,Matches!$A$2:$Q$200,10,FALSE)),Setup!$H$5,0))))</x:f>
      </x:c>
      <x:c r="O299" s="66" t="str">
        <x:f>IF($A299="","",$M299+$N299)</x:f>
      </x:c>
      <x:c r="P299" s="18" t="str">
        <x:f>IF($A299="","",IF($L299="Late","Late - 0 points",IF($J299="","Waiting for result",IF($O299&gt;0,"Scored",IF($O299&lt;0,"Wrong pick","No points")))))</x:f>
      </x:c>
    </x:row>
    <x:row r="300">
      <x:c r="A300" s="60" t="n">
        <x:f>'Form Responses 1'!A300</x:f>
        <x:v>0</x:v>
      </x:c>
      <x:c r="B300" s="18" t="n">
        <x:f>'Form Responses 1'!B300</x:f>
        <x:v>0</x:v>
      </x:c>
      <x:c r="C300" s="18" t="n">
        <x:f>'Form Responses 1'!C300</x:f>
        <x:v>0</x:v>
      </x:c>
      <x:c r="D300" s="18" t="n">
        <x:f>'Form Responses 1'!D300</x:f>
        <x:v>0</x:v>
      </x:c>
      <x:c r="E300" s="18" t="n">
        <x:f>'Form Responses 1'!E300</x:f>
        <x:v>0</x:v>
      </x:c>
      <x:c r="F300" s="18" t="n">
        <x:f>'Form Responses 1'!F300</x:f>
        <x:v>0</x:v>
      </x:c>
      <x:c r="G300" s="18" t="n">
        <x:f>'Form Responses 1'!G300</x:f>
        <x:v>0</x:v>
      </x:c>
      <x:c r="H300" s="18" t="str">
        <x:f>IF($C300="","",IFERROR(VLOOKUP($C300,Matches!$A$2:$Q$200,5,FALSE),"Unknown"))</x:f>
      </x:c>
      <x:c r="I300" s="60" t="str">
        <x:f>IF($C300="","",IFERROR(VLOOKUP($C300,Matches!$A$2:$Q$200,16,FALSE),""))</x:f>
      </x:c>
      <x:c r="J300" s="18" t="str">
        <x:f>IF($C300="","",IFERROR(VLOOKUP($C300,Matches!$A$2:$Q$200,11,FALSE),""))</x:f>
      </x:c>
      <x:c r="K300" s="18" t="str">
        <x:f>IF($C300="","",IFERROR(VLOOKUP($C300,Matches!$A$2:$Q$200,12,FALSE),""))</x:f>
      </x:c>
      <x:c r="L300" s="18" t="str">
        <x:f>IF($A300="","",IF($C300=1,"Yes",IF(OR($I300="",$A300&lt;$I300),"Yes","Late")))</x:f>
      </x:c>
      <x:c r="M300" s="66" t="str">
        <x:f>IF($A300="","",IF($L300&lt;&gt;"Yes",0,IF($E300="",0,IF($J300="",0,IF($H300="Group",IF($E300=$J300,Setup!$H$2,Setup!$H$3),IF($E300=$K300,Setup!$H$2,Setup!$H$3))))))</x:f>
      </x:c>
      <x:c r="N300" s="66" t="str">
        <x:f>IF($A300="","",IF($L300&lt;&gt;"Yes",0,IF(OR($F300="",$G300=""),0,IF(AND($F300=VLOOKUP($C300,Matches!$A$2:$Q$200,9,FALSE),$G300=VLOOKUP($C300,Matches!$A$2:$Q$200,10,FALSE)),Setup!$H$5,0))))</x:f>
      </x:c>
      <x:c r="O300" s="66" t="str">
        <x:f>IF($A300="","",$M300+$N300)</x:f>
      </x:c>
      <x:c r="P300" s="18" t="str">
        <x:f>IF($A300="","",IF($L300="Late","Late - 0 points",IF($J300="","Waiting for result",IF($O300&gt;0,"Scored",IF($O300&lt;0,"Wrong pick","No points")))))</x:f>
      </x:c>
    </x:row>
    <x:row r="301">
      <x:c r="A301" s="60" t="n">
        <x:f>'Form Responses 1'!A301</x:f>
        <x:v>0</x:v>
      </x:c>
      <x:c r="B301" s="18" t="n">
        <x:f>'Form Responses 1'!B301</x:f>
        <x:v>0</x:v>
      </x:c>
      <x:c r="C301" s="18" t="n">
        <x:f>'Form Responses 1'!C301</x:f>
        <x:v>0</x:v>
      </x:c>
      <x:c r="D301" s="18" t="n">
        <x:f>'Form Responses 1'!D301</x:f>
        <x:v>0</x:v>
      </x:c>
      <x:c r="E301" s="18" t="n">
        <x:f>'Form Responses 1'!E301</x:f>
        <x:v>0</x:v>
      </x:c>
      <x:c r="F301" s="18" t="n">
        <x:f>'Form Responses 1'!F301</x:f>
        <x:v>0</x:v>
      </x:c>
      <x:c r="G301" s="18" t="n">
        <x:f>'Form Responses 1'!G301</x:f>
        <x:v>0</x:v>
      </x:c>
      <x:c r="H301" s="18" t="str">
        <x:f>IF($C301="","",IFERROR(VLOOKUP($C301,Matches!$A$2:$Q$200,5,FALSE),"Unknown"))</x:f>
      </x:c>
      <x:c r="I301" s="60" t="str">
        <x:f>IF($C301="","",IFERROR(VLOOKUP($C301,Matches!$A$2:$Q$200,16,FALSE),""))</x:f>
      </x:c>
      <x:c r="J301" s="18" t="str">
        <x:f>IF($C301="","",IFERROR(VLOOKUP($C301,Matches!$A$2:$Q$200,11,FALSE),""))</x:f>
      </x:c>
      <x:c r="K301" s="18" t="str">
        <x:f>IF($C301="","",IFERROR(VLOOKUP($C301,Matches!$A$2:$Q$200,12,FALSE),""))</x:f>
      </x:c>
      <x:c r="L301" s="18" t="str">
        <x:f>IF($A301="","",IF($C301=1,"Yes",IF(OR($I301="",$A301&lt;$I301),"Yes","Late")))</x:f>
      </x:c>
      <x:c r="M301" s="66" t="str">
        <x:f>IF($A301="","",IF($L301&lt;&gt;"Yes",0,IF($E301="",0,IF($J301="",0,IF($H301="Group",IF($E301=$J301,Setup!$H$2,Setup!$H$3),IF($E301=$K301,Setup!$H$2,Setup!$H$3))))))</x:f>
      </x:c>
      <x:c r="N301" s="66" t="str">
        <x:f>IF($A301="","",IF($L301&lt;&gt;"Yes",0,IF(OR($F301="",$G301=""),0,IF(AND($F301=VLOOKUP($C301,Matches!$A$2:$Q$200,9,FALSE),$G301=VLOOKUP($C301,Matches!$A$2:$Q$200,10,FALSE)),Setup!$H$5,0))))</x:f>
      </x:c>
      <x:c r="O301" s="66" t="str">
        <x:f>IF($A301="","",$M301+$N301)</x:f>
      </x:c>
      <x:c r="P301" s="18" t="str">
        <x:f>IF($A301="","",IF($L301="Late","Late - 0 points",IF($J301="","Waiting for result",IF($O301&gt;0,"Scored",IF($O301&lt;0,"Wrong pick","No points")))))</x:f>
      </x:c>
    </x:row>
    <x:row r="302">
      <x:c r="A302" s="60" t="n">
        <x:f>'Form Responses 1'!A302</x:f>
        <x:v>0</x:v>
      </x:c>
      <x:c r="B302" s="18" t="n">
        <x:f>'Form Responses 1'!B302</x:f>
        <x:v>0</x:v>
      </x:c>
      <x:c r="C302" s="18" t="n">
        <x:f>'Form Responses 1'!C302</x:f>
        <x:v>0</x:v>
      </x:c>
      <x:c r="D302" s="18" t="n">
        <x:f>'Form Responses 1'!D302</x:f>
        <x:v>0</x:v>
      </x:c>
      <x:c r="E302" s="18" t="n">
        <x:f>'Form Responses 1'!E302</x:f>
        <x:v>0</x:v>
      </x:c>
      <x:c r="F302" s="18" t="n">
        <x:f>'Form Responses 1'!F302</x:f>
        <x:v>0</x:v>
      </x:c>
      <x:c r="G302" s="18" t="n">
        <x:f>'Form Responses 1'!G302</x:f>
        <x:v>0</x:v>
      </x:c>
      <x:c r="H302" s="18" t="str">
        <x:f>IF($C302="","",IFERROR(VLOOKUP($C302,Matches!$A$2:$Q$200,5,FALSE),"Unknown"))</x:f>
      </x:c>
      <x:c r="I302" s="60" t="str">
        <x:f>IF($C302="","",IFERROR(VLOOKUP($C302,Matches!$A$2:$Q$200,16,FALSE),""))</x:f>
      </x:c>
      <x:c r="J302" s="18" t="str">
        <x:f>IF($C302="","",IFERROR(VLOOKUP($C302,Matches!$A$2:$Q$200,11,FALSE),""))</x:f>
      </x:c>
      <x:c r="K302" s="18" t="str">
        <x:f>IF($C302="","",IFERROR(VLOOKUP($C302,Matches!$A$2:$Q$200,12,FALSE),""))</x:f>
      </x:c>
      <x:c r="L302" s="18" t="str">
        <x:f>IF($A302="","",IF($C302=1,"Yes",IF(OR($I302="",$A302&lt;$I302),"Yes","Late")))</x:f>
      </x:c>
      <x:c r="M302" s="66" t="str">
        <x:f>IF($A302="","",IF($L302&lt;&gt;"Yes",0,IF($E302="",0,IF($J302="",0,IF($H302="Group",IF($E302=$J302,Setup!$H$2,Setup!$H$3),IF($E302=$K302,Setup!$H$2,Setup!$H$3))))))</x:f>
      </x:c>
      <x:c r="N302" s="66" t="str">
        <x:f>IF($A302="","",IF($L302&lt;&gt;"Yes",0,IF(OR($F302="",$G302=""),0,IF(AND($F302=VLOOKUP($C302,Matches!$A$2:$Q$200,9,FALSE),$G302=VLOOKUP($C302,Matches!$A$2:$Q$200,10,FALSE)),Setup!$H$5,0))))</x:f>
      </x:c>
      <x:c r="O302" s="66" t="str">
        <x:f>IF($A302="","",$M302+$N302)</x:f>
      </x:c>
      <x:c r="P302" s="18" t="str">
        <x:f>IF($A302="","",IF($L302="Late","Late - 0 points",IF($J302="","Waiting for result",IF($O302&gt;0,"Scored",IF($O302&lt;0,"Wrong pick","No points")))))</x:f>
      </x:c>
    </x:row>
    <x:row r="303">
      <x:c r="A303" s="60" t="n">
        <x:f>'Form Responses 1'!A303</x:f>
        <x:v>0</x:v>
      </x:c>
      <x:c r="B303" s="18" t="n">
        <x:f>'Form Responses 1'!B303</x:f>
        <x:v>0</x:v>
      </x:c>
      <x:c r="C303" s="18" t="n">
        <x:f>'Form Responses 1'!C303</x:f>
        <x:v>0</x:v>
      </x:c>
      <x:c r="D303" s="18" t="n">
        <x:f>'Form Responses 1'!D303</x:f>
        <x:v>0</x:v>
      </x:c>
      <x:c r="E303" s="18" t="n">
        <x:f>'Form Responses 1'!E303</x:f>
        <x:v>0</x:v>
      </x:c>
      <x:c r="F303" s="18" t="n">
        <x:f>'Form Responses 1'!F303</x:f>
        <x:v>0</x:v>
      </x:c>
      <x:c r="G303" s="18" t="n">
        <x:f>'Form Responses 1'!G303</x:f>
        <x:v>0</x:v>
      </x:c>
      <x:c r="H303" s="18" t="str">
        <x:f>IF($C303="","",IFERROR(VLOOKUP($C303,Matches!$A$2:$Q$200,5,FALSE),"Unknown"))</x:f>
      </x:c>
      <x:c r="I303" s="60" t="str">
        <x:f>IF($C303="","",IFERROR(VLOOKUP($C303,Matches!$A$2:$Q$200,16,FALSE),""))</x:f>
      </x:c>
      <x:c r="J303" s="18" t="str">
        <x:f>IF($C303="","",IFERROR(VLOOKUP($C303,Matches!$A$2:$Q$200,11,FALSE),""))</x:f>
      </x:c>
      <x:c r="K303" s="18" t="str">
        <x:f>IF($C303="","",IFERROR(VLOOKUP($C303,Matches!$A$2:$Q$200,12,FALSE),""))</x:f>
      </x:c>
      <x:c r="L303" s="18" t="str">
        <x:f>IF($A303="","",IF($C303=1,"Yes",IF(OR($I303="",$A303&lt;$I303),"Yes","Late")))</x:f>
      </x:c>
      <x:c r="M303" s="66" t="str">
        <x:f>IF($A303="","",IF($L303&lt;&gt;"Yes",0,IF($E303="",0,IF($J303="",0,IF($H303="Group",IF($E303=$J303,Setup!$H$2,Setup!$H$3),IF($E303=$K303,Setup!$H$2,Setup!$H$3))))))</x:f>
      </x:c>
      <x:c r="N303" s="66" t="str">
        <x:f>IF($A303="","",IF($L303&lt;&gt;"Yes",0,IF(OR($F303="",$G303=""),0,IF(AND($F303=VLOOKUP($C303,Matches!$A$2:$Q$200,9,FALSE),$G303=VLOOKUP($C303,Matches!$A$2:$Q$200,10,FALSE)),Setup!$H$5,0))))</x:f>
      </x:c>
      <x:c r="O303" s="66" t="str">
        <x:f>IF($A303="","",$M303+$N303)</x:f>
      </x:c>
      <x:c r="P303" s="18" t="str">
        <x:f>IF($A303="","",IF($L303="Late","Late - 0 points",IF($J303="","Waiting for result",IF($O303&gt;0,"Scored",IF($O303&lt;0,"Wrong pick","No points")))))</x:f>
      </x:c>
    </x:row>
    <x:row r="304">
      <x:c r="A304" s="60" t="n">
        <x:f>'Form Responses 1'!A304</x:f>
        <x:v>0</x:v>
      </x:c>
      <x:c r="B304" s="18" t="n">
        <x:f>'Form Responses 1'!B304</x:f>
        <x:v>0</x:v>
      </x:c>
      <x:c r="C304" s="18" t="n">
        <x:f>'Form Responses 1'!C304</x:f>
        <x:v>0</x:v>
      </x:c>
      <x:c r="D304" s="18" t="n">
        <x:f>'Form Responses 1'!D304</x:f>
        <x:v>0</x:v>
      </x:c>
      <x:c r="E304" s="18" t="n">
        <x:f>'Form Responses 1'!E304</x:f>
        <x:v>0</x:v>
      </x:c>
      <x:c r="F304" s="18" t="n">
        <x:f>'Form Responses 1'!F304</x:f>
        <x:v>0</x:v>
      </x:c>
      <x:c r="G304" s="18" t="n">
        <x:f>'Form Responses 1'!G304</x:f>
        <x:v>0</x:v>
      </x:c>
      <x:c r="H304" s="18" t="str">
        <x:f>IF($C304="","",IFERROR(VLOOKUP($C304,Matches!$A$2:$Q$200,5,FALSE),"Unknown"))</x:f>
      </x:c>
      <x:c r="I304" s="60" t="str">
        <x:f>IF($C304="","",IFERROR(VLOOKUP($C304,Matches!$A$2:$Q$200,16,FALSE),""))</x:f>
      </x:c>
      <x:c r="J304" s="18" t="str">
        <x:f>IF($C304="","",IFERROR(VLOOKUP($C304,Matches!$A$2:$Q$200,11,FALSE),""))</x:f>
      </x:c>
      <x:c r="K304" s="18" t="str">
        <x:f>IF($C304="","",IFERROR(VLOOKUP($C304,Matches!$A$2:$Q$200,12,FALSE),""))</x:f>
      </x:c>
      <x:c r="L304" s="18" t="str">
        <x:f>IF($A304="","",IF($C304=1,"Yes",IF(OR($I304="",$A304&lt;$I304),"Yes","Late")))</x:f>
      </x:c>
      <x:c r="M304" s="66" t="str">
        <x:f>IF($A304="","",IF($L304&lt;&gt;"Yes",0,IF($E304="",0,IF($J304="",0,IF($H304="Group",IF($E304=$J304,Setup!$H$2,Setup!$H$3),IF($E304=$K304,Setup!$H$2,Setup!$H$3))))))</x:f>
      </x:c>
      <x:c r="N304" s="66" t="str">
        <x:f>IF($A304="","",IF($L304&lt;&gt;"Yes",0,IF(OR($F304="",$G304=""),0,IF(AND($F304=VLOOKUP($C304,Matches!$A$2:$Q$200,9,FALSE),$G304=VLOOKUP($C304,Matches!$A$2:$Q$200,10,FALSE)),Setup!$H$5,0))))</x:f>
      </x:c>
      <x:c r="O304" s="66" t="str">
        <x:f>IF($A304="","",$M304+$N304)</x:f>
      </x:c>
      <x:c r="P304" s="18" t="str">
        <x:f>IF($A304="","",IF($L304="Late","Late - 0 points",IF($J304="","Waiting for result",IF($O304&gt;0,"Scored",IF($O304&lt;0,"Wrong pick","No points")))))</x:f>
      </x:c>
    </x:row>
    <x:row r="305">
      <x:c r="A305" s="60" t="n">
        <x:f>'Form Responses 1'!A305</x:f>
        <x:v>0</x:v>
      </x:c>
      <x:c r="B305" s="18" t="n">
        <x:f>'Form Responses 1'!B305</x:f>
        <x:v>0</x:v>
      </x:c>
      <x:c r="C305" s="18" t="n">
        <x:f>'Form Responses 1'!C305</x:f>
        <x:v>0</x:v>
      </x:c>
      <x:c r="D305" s="18" t="n">
        <x:f>'Form Responses 1'!D305</x:f>
        <x:v>0</x:v>
      </x:c>
      <x:c r="E305" s="18" t="n">
        <x:f>'Form Responses 1'!E305</x:f>
        <x:v>0</x:v>
      </x:c>
      <x:c r="F305" s="18" t="n">
        <x:f>'Form Responses 1'!F305</x:f>
        <x:v>0</x:v>
      </x:c>
      <x:c r="G305" s="18" t="n">
        <x:f>'Form Responses 1'!G305</x:f>
        <x:v>0</x:v>
      </x:c>
      <x:c r="H305" s="18" t="str">
        <x:f>IF($C305="","",IFERROR(VLOOKUP($C305,Matches!$A$2:$Q$200,5,FALSE),"Unknown"))</x:f>
      </x:c>
      <x:c r="I305" s="60" t="str">
        <x:f>IF($C305="","",IFERROR(VLOOKUP($C305,Matches!$A$2:$Q$200,16,FALSE),""))</x:f>
      </x:c>
      <x:c r="J305" s="18" t="str">
        <x:f>IF($C305="","",IFERROR(VLOOKUP($C305,Matches!$A$2:$Q$200,11,FALSE),""))</x:f>
      </x:c>
      <x:c r="K305" s="18" t="str">
        <x:f>IF($C305="","",IFERROR(VLOOKUP($C305,Matches!$A$2:$Q$200,12,FALSE),""))</x:f>
      </x:c>
      <x:c r="L305" s="18" t="str">
        <x:f>IF($A305="","",IF($C305=1,"Yes",IF(OR($I305="",$A305&lt;$I305),"Yes","Late")))</x:f>
      </x:c>
      <x:c r="M305" s="66" t="str">
        <x:f>IF($A305="","",IF($L305&lt;&gt;"Yes",0,IF($E305="",0,IF($J305="",0,IF($H305="Group",IF($E305=$J305,Setup!$H$2,Setup!$H$3),IF($E305=$K305,Setup!$H$2,Setup!$H$3))))))</x:f>
      </x:c>
      <x:c r="N305" s="66" t="str">
        <x:f>IF($A305="","",IF($L305&lt;&gt;"Yes",0,IF(OR($F305="",$G305=""),0,IF(AND($F305=VLOOKUP($C305,Matches!$A$2:$Q$200,9,FALSE),$G305=VLOOKUP($C305,Matches!$A$2:$Q$200,10,FALSE)),Setup!$H$5,0))))</x:f>
      </x:c>
      <x:c r="O305" s="66" t="str">
        <x:f>IF($A305="","",$M305+$N305)</x:f>
      </x:c>
      <x:c r="P305" s="18" t="str">
        <x:f>IF($A305="","",IF($L305="Late","Late - 0 points",IF($J305="","Waiting for result",IF($O305&gt;0,"Scored",IF($O305&lt;0,"Wrong pick","No points")))))</x:f>
      </x:c>
    </x:row>
    <x:row r="306">
      <x:c r="A306" s="60" t="n">
        <x:f>'Form Responses 1'!A306</x:f>
        <x:v>0</x:v>
      </x:c>
      <x:c r="B306" s="18" t="n">
        <x:f>'Form Responses 1'!B306</x:f>
        <x:v>0</x:v>
      </x:c>
      <x:c r="C306" s="18" t="n">
        <x:f>'Form Responses 1'!C306</x:f>
        <x:v>0</x:v>
      </x:c>
      <x:c r="D306" s="18" t="n">
        <x:f>'Form Responses 1'!D306</x:f>
        <x:v>0</x:v>
      </x:c>
      <x:c r="E306" s="18" t="n">
        <x:f>'Form Responses 1'!E306</x:f>
        <x:v>0</x:v>
      </x:c>
      <x:c r="F306" s="18" t="n">
        <x:f>'Form Responses 1'!F306</x:f>
        <x:v>0</x:v>
      </x:c>
      <x:c r="G306" s="18" t="n">
        <x:f>'Form Responses 1'!G306</x:f>
        <x:v>0</x:v>
      </x:c>
      <x:c r="H306" s="18" t="str">
        <x:f>IF($C306="","",IFERROR(VLOOKUP($C306,Matches!$A$2:$Q$200,5,FALSE),"Unknown"))</x:f>
      </x:c>
      <x:c r="I306" s="60" t="str">
        <x:f>IF($C306="","",IFERROR(VLOOKUP($C306,Matches!$A$2:$Q$200,16,FALSE),""))</x:f>
      </x:c>
      <x:c r="J306" s="18" t="str">
        <x:f>IF($C306="","",IFERROR(VLOOKUP($C306,Matches!$A$2:$Q$200,11,FALSE),""))</x:f>
      </x:c>
      <x:c r="K306" s="18" t="str">
        <x:f>IF($C306="","",IFERROR(VLOOKUP($C306,Matches!$A$2:$Q$200,12,FALSE),""))</x:f>
      </x:c>
      <x:c r="L306" s="18" t="str">
        <x:f>IF($A306="","",IF($C306=1,"Yes",IF(OR($I306="",$A306&lt;$I306),"Yes","Late")))</x:f>
      </x:c>
      <x:c r="M306" s="66" t="str">
        <x:f>IF($A306="","",IF($L306&lt;&gt;"Yes",0,IF($E306="",0,IF($J306="",0,IF($H306="Group",IF($E306=$J306,Setup!$H$2,Setup!$H$3),IF($E306=$K306,Setup!$H$2,Setup!$H$3))))))</x:f>
      </x:c>
      <x:c r="N306" s="66" t="str">
        <x:f>IF($A306="","",IF($L306&lt;&gt;"Yes",0,IF(OR($F306="",$G306=""),0,IF(AND($F306=VLOOKUP($C306,Matches!$A$2:$Q$200,9,FALSE),$G306=VLOOKUP($C306,Matches!$A$2:$Q$200,10,FALSE)),Setup!$H$5,0))))</x:f>
      </x:c>
      <x:c r="O306" s="66" t="str">
        <x:f>IF($A306="","",$M306+$N306)</x:f>
      </x:c>
      <x:c r="P306" s="18" t="str">
        <x:f>IF($A306="","",IF($L306="Late","Late - 0 points",IF($J306="","Waiting for result",IF($O306&gt;0,"Scored",IF($O306&lt;0,"Wrong pick","No points")))))</x:f>
      </x:c>
    </x:row>
    <x:row r="307">
      <x:c r="A307" s="60" t="n">
        <x:f>'Form Responses 1'!A307</x:f>
        <x:v>0</x:v>
      </x:c>
      <x:c r="B307" s="18" t="n">
        <x:f>'Form Responses 1'!B307</x:f>
        <x:v>0</x:v>
      </x:c>
      <x:c r="C307" s="18" t="n">
        <x:f>'Form Responses 1'!C307</x:f>
        <x:v>0</x:v>
      </x:c>
      <x:c r="D307" s="18" t="n">
        <x:f>'Form Responses 1'!D307</x:f>
        <x:v>0</x:v>
      </x:c>
      <x:c r="E307" s="18" t="n">
        <x:f>'Form Responses 1'!E307</x:f>
        <x:v>0</x:v>
      </x:c>
      <x:c r="F307" s="18" t="n">
        <x:f>'Form Responses 1'!F307</x:f>
        <x:v>0</x:v>
      </x:c>
      <x:c r="G307" s="18" t="n">
        <x:f>'Form Responses 1'!G307</x:f>
        <x:v>0</x:v>
      </x:c>
      <x:c r="H307" s="18" t="str">
        <x:f>IF($C307="","",IFERROR(VLOOKUP($C307,Matches!$A$2:$Q$200,5,FALSE),"Unknown"))</x:f>
      </x:c>
      <x:c r="I307" s="60" t="str">
        <x:f>IF($C307="","",IFERROR(VLOOKUP($C307,Matches!$A$2:$Q$200,16,FALSE),""))</x:f>
      </x:c>
      <x:c r="J307" s="18" t="str">
        <x:f>IF($C307="","",IFERROR(VLOOKUP($C307,Matches!$A$2:$Q$200,11,FALSE),""))</x:f>
      </x:c>
      <x:c r="K307" s="18" t="str">
        <x:f>IF($C307="","",IFERROR(VLOOKUP($C307,Matches!$A$2:$Q$200,12,FALSE),""))</x:f>
      </x:c>
      <x:c r="L307" s="18" t="str">
        <x:f>IF($A307="","",IF($C307=1,"Yes",IF(OR($I307="",$A307&lt;$I307),"Yes","Late")))</x:f>
      </x:c>
      <x:c r="M307" s="66" t="str">
        <x:f>IF($A307="","",IF($L307&lt;&gt;"Yes",0,IF($E307="",0,IF($J307="",0,IF($H307="Group",IF($E307=$J307,Setup!$H$2,Setup!$H$3),IF($E307=$K307,Setup!$H$2,Setup!$H$3))))))</x:f>
      </x:c>
      <x:c r="N307" s="66" t="str">
        <x:f>IF($A307="","",IF($L307&lt;&gt;"Yes",0,IF(OR($F307="",$G307=""),0,IF(AND($F307=VLOOKUP($C307,Matches!$A$2:$Q$200,9,FALSE),$G307=VLOOKUP($C307,Matches!$A$2:$Q$200,10,FALSE)),Setup!$H$5,0))))</x:f>
      </x:c>
      <x:c r="O307" s="66" t="str">
        <x:f>IF($A307="","",$M307+$N307)</x:f>
      </x:c>
      <x:c r="P307" s="18" t="str">
        <x:f>IF($A307="","",IF($L307="Late","Late - 0 points",IF($J307="","Waiting for result",IF($O307&gt;0,"Scored",IF($O307&lt;0,"Wrong pick","No points")))))</x:f>
      </x:c>
    </x:row>
    <x:row r="308">
      <x:c r="A308" s="60" t="n">
        <x:f>'Form Responses 1'!A308</x:f>
        <x:v>0</x:v>
      </x:c>
      <x:c r="B308" s="18" t="n">
        <x:f>'Form Responses 1'!B308</x:f>
        <x:v>0</x:v>
      </x:c>
      <x:c r="C308" s="18" t="n">
        <x:f>'Form Responses 1'!C308</x:f>
        <x:v>0</x:v>
      </x:c>
      <x:c r="D308" s="18" t="n">
        <x:f>'Form Responses 1'!D308</x:f>
        <x:v>0</x:v>
      </x:c>
      <x:c r="E308" s="18" t="n">
        <x:f>'Form Responses 1'!E308</x:f>
        <x:v>0</x:v>
      </x:c>
      <x:c r="F308" s="18" t="n">
        <x:f>'Form Responses 1'!F308</x:f>
        <x:v>0</x:v>
      </x:c>
      <x:c r="G308" s="18" t="n">
        <x:f>'Form Responses 1'!G308</x:f>
        <x:v>0</x:v>
      </x:c>
      <x:c r="H308" s="18" t="str">
        <x:f>IF($C308="","",IFERROR(VLOOKUP($C308,Matches!$A$2:$Q$200,5,FALSE),"Unknown"))</x:f>
      </x:c>
      <x:c r="I308" s="60" t="str">
        <x:f>IF($C308="","",IFERROR(VLOOKUP($C308,Matches!$A$2:$Q$200,16,FALSE),""))</x:f>
      </x:c>
      <x:c r="J308" s="18" t="str">
        <x:f>IF($C308="","",IFERROR(VLOOKUP($C308,Matches!$A$2:$Q$200,11,FALSE),""))</x:f>
      </x:c>
      <x:c r="K308" s="18" t="str">
        <x:f>IF($C308="","",IFERROR(VLOOKUP($C308,Matches!$A$2:$Q$200,12,FALSE),""))</x:f>
      </x:c>
      <x:c r="L308" s="18" t="str">
        <x:f>IF($A308="","",IF($C308=1,"Yes",IF(OR($I308="",$A308&lt;$I308),"Yes","Late")))</x:f>
      </x:c>
      <x:c r="M308" s="66" t="str">
        <x:f>IF($A308="","",IF($L308&lt;&gt;"Yes",0,IF($E308="",0,IF($J308="",0,IF($H308="Group",IF($E308=$J308,Setup!$H$2,Setup!$H$3),IF($E308=$K308,Setup!$H$2,Setup!$H$3))))))</x:f>
      </x:c>
      <x:c r="N308" s="66" t="str">
        <x:f>IF($A308="","",IF($L308&lt;&gt;"Yes",0,IF(OR($F308="",$G308=""),0,IF(AND($F308=VLOOKUP($C308,Matches!$A$2:$Q$200,9,FALSE),$G308=VLOOKUP($C308,Matches!$A$2:$Q$200,10,FALSE)),Setup!$H$5,0))))</x:f>
      </x:c>
      <x:c r="O308" s="66" t="str">
        <x:f>IF($A308="","",$M308+$N308)</x:f>
      </x:c>
      <x:c r="P308" s="18" t="str">
        <x:f>IF($A308="","",IF($L308="Late","Late - 0 points",IF($J308="","Waiting for result",IF($O308&gt;0,"Scored",IF($O308&lt;0,"Wrong pick","No points")))))</x:f>
      </x:c>
    </x:row>
    <x:row r="309">
      <x:c r="A309" s="60" t="n">
        <x:f>'Form Responses 1'!A309</x:f>
        <x:v>0</x:v>
      </x:c>
      <x:c r="B309" s="18" t="n">
        <x:f>'Form Responses 1'!B309</x:f>
        <x:v>0</x:v>
      </x:c>
      <x:c r="C309" s="18" t="n">
        <x:f>'Form Responses 1'!C309</x:f>
        <x:v>0</x:v>
      </x:c>
      <x:c r="D309" s="18" t="n">
        <x:f>'Form Responses 1'!D309</x:f>
        <x:v>0</x:v>
      </x:c>
      <x:c r="E309" s="18" t="n">
        <x:f>'Form Responses 1'!E309</x:f>
        <x:v>0</x:v>
      </x:c>
      <x:c r="F309" s="18" t="n">
        <x:f>'Form Responses 1'!F309</x:f>
        <x:v>0</x:v>
      </x:c>
      <x:c r="G309" s="18" t="n">
        <x:f>'Form Responses 1'!G309</x:f>
        <x:v>0</x:v>
      </x:c>
      <x:c r="H309" s="18" t="str">
        <x:f>IF($C309="","",IFERROR(VLOOKUP($C309,Matches!$A$2:$Q$200,5,FALSE),"Unknown"))</x:f>
      </x:c>
      <x:c r="I309" s="60" t="str">
        <x:f>IF($C309="","",IFERROR(VLOOKUP($C309,Matches!$A$2:$Q$200,16,FALSE),""))</x:f>
      </x:c>
      <x:c r="J309" s="18" t="str">
        <x:f>IF($C309="","",IFERROR(VLOOKUP($C309,Matches!$A$2:$Q$200,11,FALSE),""))</x:f>
      </x:c>
      <x:c r="K309" s="18" t="str">
        <x:f>IF($C309="","",IFERROR(VLOOKUP($C309,Matches!$A$2:$Q$200,12,FALSE),""))</x:f>
      </x:c>
      <x:c r="L309" s="18" t="str">
        <x:f>IF($A309="","",IF($C309=1,"Yes",IF(OR($I309="",$A309&lt;$I309),"Yes","Late")))</x:f>
      </x:c>
      <x:c r="M309" s="66" t="str">
        <x:f>IF($A309="","",IF($L309&lt;&gt;"Yes",0,IF($E309="",0,IF($J309="",0,IF($H309="Group",IF($E309=$J309,Setup!$H$2,Setup!$H$3),IF($E309=$K309,Setup!$H$2,Setup!$H$3))))))</x:f>
      </x:c>
      <x:c r="N309" s="66" t="str">
        <x:f>IF($A309="","",IF($L309&lt;&gt;"Yes",0,IF(OR($F309="",$G309=""),0,IF(AND($F309=VLOOKUP($C309,Matches!$A$2:$Q$200,9,FALSE),$G309=VLOOKUP($C309,Matches!$A$2:$Q$200,10,FALSE)),Setup!$H$5,0))))</x:f>
      </x:c>
      <x:c r="O309" s="66" t="str">
        <x:f>IF($A309="","",$M309+$N309)</x:f>
      </x:c>
      <x:c r="P309" s="18" t="str">
        <x:f>IF($A309="","",IF($L309="Late","Late - 0 points",IF($J309="","Waiting for result",IF($O309&gt;0,"Scored",IF($O309&lt;0,"Wrong pick","No points")))))</x:f>
      </x:c>
    </x:row>
    <x:row r="310">
      <x:c r="A310" s="60" t="n">
        <x:f>'Form Responses 1'!A310</x:f>
        <x:v>0</x:v>
      </x:c>
      <x:c r="B310" s="18" t="n">
        <x:f>'Form Responses 1'!B310</x:f>
        <x:v>0</x:v>
      </x:c>
      <x:c r="C310" s="18" t="n">
        <x:f>'Form Responses 1'!C310</x:f>
        <x:v>0</x:v>
      </x:c>
      <x:c r="D310" s="18" t="n">
        <x:f>'Form Responses 1'!D310</x:f>
        <x:v>0</x:v>
      </x:c>
      <x:c r="E310" s="18" t="n">
        <x:f>'Form Responses 1'!E310</x:f>
        <x:v>0</x:v>
      </x:c>
      <x:c r="F310" s="18" t="n">
        <x:f>'Form Responses 1'!F310</x:f>
        <x:v>0</x:v>
      </x:c>
      <x:c r="G310" s="18" t="n">
        <x:f>'Form Responses 1'!G310</x:f>
        <x:v>0</x:v>
      </x:c>
      <x:c r="H310" s="18" t="str">
        <x:f>IF($C310="","",IFERROR(VLOOKUP($C310,Matches!$A$2:$Q$200,5,FALSE),"Unknown"))</x:f>
      </x:c>
      <x:c r="I310" s="60" t="str">
        <x:f>IF($C310="","",IFERROR(VLOOKUP($C310,Matches!$A$2:$Q$200,16,FALSE),""))</x:f>
      </x:c>
      <x:c r="J310" s="18" t="str">
        <x:f>IF($C310="","",IFERROR(VLOOKUP($C310,Matches!$A$2:$Q$200,11,FALSE),""))</x:f>
      </x:c>
      <x:c r="K310" s="18" t="str">
        <x:f>IF($C310="","",IFERROR(VLOOKUP($C310,Matches!$A$2:$Q$200,12,FALSE),""))</x:f>
      </x:c>
      <x:c r="L310" s="18" t="str">
        <x:f>IF($A310="","",IF($C310=1,"Yes",IF(OR($I310="",$A310&lt;$I310),"Yes","Late")))</x:f>
      </x:c>
      <x:c r="M310" s="66" t="str">
        <x:f>IF($A310="","",IF($L310&lt;&gt;"Yes",0,IF($E310="",0,IF($J310="",0,IF($H310="Group",IF($E310=$J310,Setup!$H$2,Setup!$H$3),IF($E310=$K310,Setup!$H$2,Setup!$H$3))))))</x:f>
      </x:c>
      <x:c r="N310" s="66" t="str">
        <x:f>IF($A310="","",IF($L310&lt;&gt;"Yes",0,IF(OR($F310="",$G310=""),0,IF(AND($F310=VLOOKUP($C310,Matches!$A$2:$Q$200,9,FALSE),$G310=VLOOKUP($C310,Matches!$A$2:$Q$200,10,FALSE)),Setup!$H$5,0))))</x:f>
      </x:c>
      <x:c r="O310" s="66" t="str">
        <x:f>IF($A310="","",$M310+$N310)</x:f>
      </x:c>
      <x:c r="P310" s="18" t="str">
        <x:f>IF($A310="","",IF($L310="Late","Late - 0 points",IF($J310="","Waiting for result",IF($O310&gt;0,"Scored",IF($O310&lt;0,"Wrong pick","No points")))))</x:f>
      </x:c>
    </x:row>
    <x:row r="311">
      <x:c r="A311" s="60" t="n">
        <x:f>'Form Responses 1'!A311</x:f>
        <x:v>0</x:v>
      </x:c>
      <x:c r="B311" s="18" t="n">
        <x:f>'Form Responses 1'!B311</x:f>
        <x:v>0</x:v>
      </x:c>
      <x:c r="C311" s="18" t="n">
        <x:f>'Form Responses 1'!C311</x:f>
        <x:v>0</x:v>
      </x:c>
      <x:c r="D311" s="18" t="n">
        <x:f>'Form Responses 1'!D311</x:f>
        <x:v>0</x:v>
      </x:c>
      <x:c r="E311" s="18" t="n">
        <x:f>'Form Responses 1'!E311</x:f>
        <x:v>0</x:v>
      </x:c>
      <x:c r="F311" s="18" t="n">
        <x:f>'Form Responses 1'!F311</x:f>
        <x:v>0</x:v>
      </x:c>
      <x:c r="G311" s="18" t="n">
        <x:f>'Form Responses 1'!G311</x:f>
        <x:v>0</x:v>
      </x:c>
      <x:c r="H311" s="18" t="str">
        <x:f>IF($C311="","",IFERROR(VLOOKUP($C311,Matches!$A$2:$Q$200,5,FALSE),"Unknown"))</x:f>
      </x:c>
      <x:c r="I311" s="60" t="str">
        <x:f>IF($C311="","",IFERROR(VLOOKUP($C311,Matches!$A$2:$Q$200,16,FALSE),""))</x:f>
      </x:c>
      <x:c r="J311" s="18" t="str">
        <x:f>IF($C311="","",IFERROR(VLOOKUP($C311,Matches!$A$2:$Q$200,11,FALSE),""))</x:f>
      </x:c>
      <x:c r="K311" s="18" t="str">
        <x:f>IF($C311="","",IFERROR(VLOOKUP($C311,Matches!$A$2:$Q$200,12,FALSE),""))</x:f>
      </x:c>
      <x:c r="L311" s="18" t="str">
        <x:f>IF($A311="","",IF($C311=1,"Yes",IF(OR($I311="",$A311&lt;$I311),"Yes","Late")))</x:f>
      </x:c>
      <x:c r="M311" s="66" t="str">
        <x:f>IF($A311="","",IF($L311&lt;&gt;"Yes",0,IF($E311="",0,IF($J311="",0,IF($H311="Group",IF($E311=$J311,Setup!$H$2,Setup!$H$3),IF($E311=$K311,Setup!$H$2,Setup!$H$3))))))</x:f>
      </x:c>
      <x:c r="N311" s="66" t="str">
        <x:f>IF($A311="","",IF($L311&lt;&gt;"Yes",0,IF(OR($F311="",$G311=""),0,IF(AND($F311=VLOOKUP($C311,Matches!$A$2:$Q$200,9,FALSE),$G311=VLOOKUP($C311,Matches!$A$2:$Q$200,10,FALSE)),Setup!$H$5,0))))</x:f>
      </x:c>
      <x:c r="O311" s="66" t="str">
        <x:f>IF($A311="","",$M311+$N311)</x:f>
      </x:c>
      <x:c r="P311" s="18" t="str">
        <x:f>IF($A311="","",IF($L311="Late","Late - 0 points",IF($J311="","Waiting for result",IF($O311&gt;0,"Scored",IF($O311&lt;0,"Wrong pick","No points")))))</x:f>
      </x:c>
    </x:row>
    <x:row r="312">
      <x:c r="A312" s="60" t="n">
        <x:f>'Form Responses 1'!A312</x:f>
        <x:v>0</x:v>
      </x:c>
      <x:c r="B312" s="18" t="n">
        <x:f>'Form Responses 1'!B312</x:f>
        <x:v>0</x:v>
      </x:c>
      <x:c r="C312" s="18" t="n">
        <x:f>'Form Responses 1'!C312</x:f>
        <x:v>0</x:v>
      </x:c>
      <x:c r="D312" s="18" t="n">
        <x:f>'Form Responses 1'!D312</x:f>
        <x:v>0</x:v>
      </x:c>
      <x:c r="E312" s="18" t="n">
        <x:f>'Form Responses 1'!E312</x:f>
        <x:v>0</x:v>
      </x:c>
      <x:c r="F312" s="18" t="n">
        <x:f>'Form Responses 1'!F312</x:f>
        <x:v>0</x:v>
      </x:c>
      <x:c r="G312" s="18" t="n">
        <x:f>'Form Responses 1'!G312</x:f>
        <x:v>0</x:v>
      </x:c>
      <x:c r="H312" s="18" t="str">
        <x:f>IF($C312="","",IFERROR(VLOOKUP($C312,Matches!$A$2:$Q$200,5,FALSE),"Unknown"))</x:f>
      </x:c>
      <x:c r="I312" s="60" t="str">
        <x:f>IF($C312="","",IFERROR(VLOOKUP($C312,Matches!$A$2:$Q$200,16,FALSE),""))</x:f>
      </x:c>
      <x:c r="J312" s="18" t="str">
        <x:f>IF($C312="","",IFERROR(VLOOKUP($C312,Matches!$A$2:$Q$200,11,FALSE),""))</x:f>
      </x:c>
      <x:c r="K312" s="18" t="str">
        <x:f>IF($C312="","",IFERROR(VLOOKUP($C312,Matches!$A$2:$Q$200,12,FALSE),""))</x:f>
      </x:c>
      <x:c r="L312" s="18" t="str">
        <x:f>IF($A312="","",IF($C312=1,"Yes",IF(OR($I312="",$A312&lt;$I312),"Yes","Late")))</x:f>
      </x:c>
      <x:c r="M312" s="66" t="str">
        <x:f>IF($A312="","",IF($L312&lt;&gt;"Yes",0,IF($E312="",0,IF($J312="",0,IF($H312="Group",IF($E312=$J312,Setup!$H$2,Setup!$H$3),IF($E312=$K312,Setup!$H$2,Setup!$H$3))))))</x:f>
      </x:c>
      <x:c r="N312" s="66" t="str">
        <x:f>IF($A312="","",IF($L312&lt;&gt;"Yes",0,IF(OR($F312="",$G312=""),0,IF(AND($F312=VLOOKUP($C312,Matches!$A$2:$Q$200,9,FALSE),$G312=VLOOKUP($C312,Matches!$A$2:$Q$200,10,FALSE)),Setup!$H$5,0))))</x:f>
      </x:c>
      <x:c r="O312" s="66" t="str">
        <x:f>IF($A312="","",$M312+$N312)</x:f>
      </x:c>
      <x:c r="P312" s="18" t="str">
        <x:f>IF($A312="","",IF($L312="Late","Late - 0 points",IF($J312="","Waiting for result",IF($O312&gt;0,"Scored",IF($O312&lt;0,"Wrong pick","No points")))))</x:f>
      </x:c>
    </x:row>
    <x:row r="313">
      <x:c r="A313" s="60" t="n">
        <x:f>'Form Responses 1'!A313</x:f>
        <x:v>0</x:v>
      </x:c>
      <x:c r="B313" s="18" t="n">
        <x:f>'Form Responses 1'!B313</x:f>
        <x:v>0</x:v>
      </x:c>
      <x:c r="C313" s="18" t="n">
        <x:f>'Form Responses 1'!C313</x:f>
        <x:v>0</x:v>
      </x:c>
      <x:c r="D313" s="18" t="n">
        <x:f>'Form Responses 1'!D313</x:f>
        <x:v>0</x:v>
      </x:c>
      <x:c r="E313" s="18" t="n">
        <x:f>'Form Responses 1'!E313</x:f>
        <x:v>0</x:v>
      </x:c>
      <x:c r="F313" s="18" t="n">
        <x:f>'Form Responses 1'!F313</x:f>
        <x:v>0</x:v>
      </x:c>
      <x:c r="G313" s="18" t="n">
        <x:f>'Form Responses 1'!G313</x:f>
        <x:v>0</x:v>
      </x:c>
      <x:c r="H313" s="18" t="str">
        <x:f>IF($C313="","",IFERROR(VLOOKUP($C313,Matches!$A$2:$Q$200,5,FALSE),"Unknown"))</x:f>
      </x:c>
      <x:c r="I313" s="60" t="str">
        <x:f>IF($C313="","",IFERROR(VLOOKUP($C313,Matches!$A$2:$Q$200,16,FALSE),""))</x:f>
      </x:c>
      <x:c r="J313" s="18" t="str">
        <x:f>IF($C313="","",IFERROR(VLOOKUP($C313,Matches!$A$2:$Q$200,11,FALSE),""))</x:f>
      </x:c>
      <x:c r="K313" s="18" t="str">
        <x:f>IF($C313="","",IFERROR(VLOOKUP($C313,Matches!$A$2:$Q$200,12,FALSE),""))</x:f>
      </x:c>
      <x:c r="L313" s="18" t="str">
        <x:f>IF($A313="","",IF($C313=1,"Yes",IF(OR($I313="",$A313&lt;$I313),"Yes","Late")))</x:f>
      </x:c>
      <x:c r="M313" s="66" t="str">
        <x:f>IF($A313="","",IF($L313&lt;&gt;"Yes",0,IF($E313="",0,IF($J313="",0,IF($H313="Group",IF($E313=$J313,Setup!$H$2,Setup!$H$3),IF($E313=$K313,Setup!$H$2,Setup!$H$3))))))</x:f>
      </x:c>
      <x:c r="N313" s="66" t="str">
        <x:f>IF($A313="","",IF($L313&lt;&gt;"Yes",0,IF(OR($F313="",$G313=""),0,IF(AND($F313=VLOOKUP($C313,Matches!$A$2:$Q$200,9,FALSE),$G313=VLOOKUP($C313,Matches!$A$2:$Q$200,10,FALSE)),Setup!$H$5,0))))</x:f>
      </x:c>
      <x:c r="O313" s="66" t="str">
        <x:f>IF($A313="","",$M313+$N313)</x:f>
      </x:c>
      <x:c r="P313" s="18" t="str">
        <x:f>IF($A313="","",IF($L313="Late","Late - 0 points",IF($J313="","Waiting for result",IF($O313&gt;0,"Scored",IF($O313&lt;0,"Wrong pick","No points")))))</x:f>
      </x:c>
    </x:row>
    <x:row r="314">
      <x:c r="A314" s="60" t="n">
        <x:f>'Form Responses 1'!A314</x:f>
        <x:v>0</x:v>
      </x:c>
      <x:c r="B314" s="18" t="n">
        <x:f>'Form Responses 1'!B314</x:f>
        <x:v>0</x:v>
      </x:c>
      <x:c r="C314" s="18" t="n">
        <x:f>'Form Responses 1'!C314</x:f>
        <x:v>0</x:v>
      </x:c>
      <x:c r="D314" s="18" t="n">
        <x:f>'Form Responses 1'!D314</x:f>
        <x:v>0</x:v>
      </x:c>
      <x:c r="E314" s="18" t="n">
        <x:f>'Form Responses 1'!E314</x:f>
        <x:v>0</x:v>
      </x:c>
      <x:c r="F314" s="18" t="n">
        <x:f>'Form Responses 1'!F314</x:f>
        <x:v>0</x:v>
      </x:c>
      <x:c r="G314" s="18" t="n">
        <x:f>'Form Responses 1'!G314</x:f>
        <x:v>0</x:v>
      </x:c>
      <x:c r="H314" s="18" t="str">
        <x:f>IF($C314="","",IFERROR(VLOOKUP($C314,Matches!$A$2:$Q$200,5,FALSE),"Unknown"))</x:f>
      </x:c>
      <x:c r="I314" s="60" t="str">
        <x:f>IF($C314="","",IFERROR(VLOOKUP($C314,Matches!$A$2:$Q$200,16,FALSE),""))</x:f>
      </x:c>
      <x:c r="J314" s="18" t="str">
        <x:f>IF($C314="","",IFERROR(VLOOKUP($C314,Matches!$A$2:$Q$200,11,FALSE),""))</x:f>
      </x:c>
      <x:c r="K314" s="18" t="str">
        <x:f>IF($C314="","",IFERROR(VLOOKUP($C314,Matches!$A$2:$Q$200,12,FALSE),""))</x:f>
      </x:c>
      <x:c r="L314" s="18" t="str">
        <x:f>IF($A314="","",IF($C314=1,"Yes",IF(OR($I314="",$A314&lt;$I314),"Yes","Late")))</x:f>
      </x:c>
      <x:c r="M314" s="66" t="str">
        <x:f>IF($A314="","",IF($L314&lt;&gt;"Yes",0,IF($E314="",0,IF($J314="",0,IF($H314="Group",IF($E314=$J314,Setup!$H$2,Setup!$H$3),IF($E314=$K314,Setup!$H$2,Setup!$H$3))))))</x:f>
      </x:c>
      <x:c r="N314" s="66" t="str">
        <x:f>IF($A314="","",IF($L314&lt;&gt;"Yes",0,IF(OR($F314="",$G314=""),0,IF(AND($F314=VLOOKUP($C314,Matches!$A$2:$Q$200,9,FALSE),$G314=VLOOKUP($C314,Matches!$A$2:$Q$200,10,FALSE)),Setup!$H$5,0))))</x:f>
      </x:c>
      <x:c r="O314" s="66" t="str">
        <x:f>IF($A314="","",$M314+$N314)</x:f>
      </x:c>
      <x:c r="P314" s="18" t="str">
        <x:f>IF($A314="","",IF($L314="Late","Late - 0 points",IF($J314="","Waiting for result",IF($O314&gt;0,"Scored",IF($O314&lt;0,"Wrong pick","No points")))))</x:f>
      </x:c>
    </x:row>
    <x:row r="315">
      <x:c r="A315" s="60" t="n">
        <x:f>'Form Responses 1'!A315</x:f>
        <x:v>0</x:v>
      </x:c>
      <x:c r="B315" s="18" t="n">
        <x:f>'Form Responses 1'!B315</x:f>
        <x:v>0</x:v>
      </x:c>
      <x:c r="C315" s="18" t="n">
        <x:f>'Form Responses 1'!C315</x:f>
        <x:v>0</x:v>
      </x:c>
      <x:c r="D315" s="18" t="n">
        <x:f>'Form Responses 1'!D315</x:f>
        <x:v>0</x:v>
      </x:c>
      <x:c r="E315" s="18" t="n">
        <x:f>'Form Responses 1'!E315</x:f>
        <x:v>0</x:v>
      </x:c>
      <x:c r="F315" s="18" t="n">
        <x:f>'Form Responses 1'!F315</x:f>
        <x:v>0</x:v>
      </x:c>
      <x:c r="G315" s="18" t="n">
        <x:f>'Form Responses 1'!G315</x:f>
        <x:v>0</x:v>
      </x:c>
      <x:c r="H315" s="18" t="str">
        <x:f>IF($C315="","",IFERROR(VLOOKUP($C315,Matches!$A$2:$Q$200,5,FALSE),"Unknown"))</x:f>
      </x:c>
      <x:c r="I315" s="60" t="str">
        <x:f>IF($C315="","",IFERROR(VLOOKUP($C315,Matches!$A$2:$Q$200,16,FALSE),""))</x:f>
      </x:c>
      <x:c r="J315" s="18" t="str">
        <x:f>IF($C315="","",IFERROR(VLOOKUP($C315,Matches!$A$2:$Q$200,11,FALSE),""))</x:f>
      </x:c>
      <x:c r="K315" s="18" t="str">
        <x:f>IF($C315="","",IFERROR(VLOOKUP($C315,Matches!$A$2:$Q$200,12,FALSE),""))</x:f>
      </x:c>
      <x:c r="L315" s="18" t="str">
        <x:f>IF($A315="","",IF($C315=1,"Yes",IF(OR($I315="",$A315&lt;$I315),"Yes","Late")))</x:f>
      </x:c>
      <x:c r="M315" s="66" t="str">
        <x:f>IF($A315="","",IF($L315&lt;&gt;"Yes",0,IF($E315="",0,IF($J315="",0,IF($H315="Group",IF($E315=$J315,Setup!$H$2,Setup!$H$3),IF($E315=$K315,Setup!$H$2,Setup!$H$3))))))</x:f>
      </x:c>
      <x:c r="N315" s="66" t="str">
        <x:f>IF($A315="","",IF($L315&lt;&gt;"Yes",0,IF(OR($F315="",$G315=""),0,IF(AND($F315=VLOOKUP($C315,Matches!$A$2:$Q$200,9,FALSE),$G315=VLOOKUP($C315,Matches!$A$2:$Q$200,10,FALSE)),Setup!$H$5,0))))</x:f>
      </x:c>
      <x:c r="O315" s="66" t="str">
        <x:f>IF($A315="","",$M315+$N315)</x:f>
      </x:c>
      <x:c r="P315" s="18" t="str">
        <x:f>IF($A315="","",IF($L315="Late","Late - 0 points",IF($J315="","Waiting for result",IF($O315&gt;0,"Scored",IF($O315&lt;0,"Wrong pick","No points")))))</x:f>
      </x:c>
    </x:row>
    <x:row r="316">
      <x:c r="A316" s="60" t="n">
        <x:f>'Form Responses 1'!A316</x:f>
        <x:v>0</x:v>
      </x:c>
      <x:c r="B316" s="18" t="n">
        <x:f>'Form Responses 1'!B316</x:f>
        <x:v>0</x:v>
      </x:c>
      <x:c r="C316" s="18" t="n">
        <x:f>'Form Responses 1'!C316</x:f>
        <x:v>0</x:v>
      </x:c>
      <x:c r="D316" s="18" t="n">
        <x:f>'Form Responses 1'!D316</x:f>
        <x:v>0</x:v>
      </x:c>
      <x:c r="E316" s="18" t="n">
        <x:f>'Form Responses 1'!E316</x:f>
        <x:v>0</x:v>
      </x:c>
      <x:c r="F316" s="18" t="n">
        <x:f>'Form Responses 1'!F316</x:f>
        <x:v>0</x:v>
      </x:c>
      <x:c r="G316" s="18" t="n">
        <x:f>'Form Responses 1'!G316</x:f>
        <x:v>0</x:v>
      </x:c>
      <x:c r="H316" s="18" t="str">
        <x:f>IF($C316="","",IFERROR(VLOOKUP($C316,Matches!$A$2:$Q$200,5,FALSE),"Unknown"))</x:f>
      </x:c>
      <x:c r="I316" s="60" t="str">
        <x:f>IF($C316="","",IFERROR(VLOOKUP($C316,Matches!$A$2:$Q$200,16,FALSE),""))</x:f>
      </x:c>
      <x:c r="J316" s="18" t="str">
        <x:f>IF($C316="","",IFERROR(VLOOKUP($C316,Matches!$A$2:$Q$200,11,FALSE),""))</x:f>
      </x:c>
      <x:c r="K316" s="18" t="str">
        <x:f>IF($C316="","",IFERROR(VLOOKUP($C316,Matches!$A$2:$Q$200,12,FALSE),""))</x:f>
      </x:c>
      <x:c r="L316" s="18" t="str">
        <x:f>IF($A316="","",IF($C316=1,"Yes",IF(OR($I316="",$A316&lt;$I316),"Yes","Late")))</x:f>
      </x:c>
      <x:c r="M316" s="66" t="str">
        <x:f>IF($A316="","",IF($L316&lt;&gt;"Yes",0,IF($E316="",0,IF($J316="",0,IF($H316="Group",IF($E316=$J316,Setup!$H$2,Setup!$H$3),IF($E316=$K316,Setup!$H$2,Setup!$H$3))))))</x:f>
      </x:c>
      <x:c r="N316" s="66" t="str">
        <x:f>IF($A316="","",IF($L316&lt;&gt;"Yes",0,IF(OR($F316="",$G316=""),0,IF(AND($F316=VLOOKUP($C316,Matches!$A$2:$Q$200,9,FALSE),$G316=VLOOKUP($C316,Matches!$A$2:$Q$200,10,FALSE)),Setup!$H$5,0))))</x:f>
      </x:c>
      <x:c r="O316" s="66" t="str">
        <x:f>IF($A316="","",$M316+$N316)</x:f>
      </x:c>
      <x:c r="P316" s="18" t="str">
        <x:f>IF($A316="","",IF($L316="Late","Late - 0 points",IF($J316="","Waiting for result",IF($O316&gt;0,"Scored",IF($O316&lt;0,"Wrong pick","No points")))))</x:f>
      </x:c>
    </x:row>
    <x:row r="317">
      <x:c r="A317" s="60" t="n">
        <x:f>'Form Responses 1'!A317</x:f>
        <x:v>0</x:v>
      </x:c>
      <x:c r="B317" s="18" t="n">
        <x:f>'Form Responses 1'!B317</x:f>
        <x:v>0</x:v>
      </x:c>
      <x:c r="C317" s="18" t="n">
        <x:f>'Form Responses 1'!C317</x:f>
        <x:v>0</x:v>
      </x:c>
      <x:c r="D317" s="18" t="n">
        <x:f>'Form Responses 1'!D317</x:f>
        <x:v>0</x:v>
      </x:c>
      <x:c r="E317" s="18" t="n">
        <x:f>'Form Responses 1'!E317</x:f>
        <x:v>0</x:v>
      </x:c>
      <x:c r="F317" s="18" t="n">
        <x:f>'Form Responses 1'!F317</x:f>
        <x:v>0</x:v>
      </x:c>
      <x:c r="G317" s="18" t="n">
        <x:f>'Form Responses 1'!G317</x:f>
        <x:v>0</x:v>
      </x:c>
      <x:c r="H317" s="18" t="str">
        <x:f>IF($C317="","",IFERROR(VLOOKUP($C317,Matches!$A$2:$Q$200,5,FALSE),"Unknown"))</x:f>
      </x:c>
      <x:c r="I317" s="60" t="str">
        <x:f>IF($C317="","",IFERROR(VLOOKUP($C317,Matches!$A$2:$Q$200,16,FALSE),""))</x:f>
      </x:c>
      <x:c r="J317" s="18" t="str">
        <x:f>IF($C317="","",IFERROR(VLOOKUP($C317,Matches!$A$2:$Q$200,11,FALSE),""))</x:f>
      </x:c>
      <x:c r="K317" s="18" t="str">
        <x:f>IF($C317="","",IFERROR(VLOOKUP($C317,Matches!$A$2:$Q$200,12,FALSE),""))</x:f>
      </x:c>
      <x:c r="L317" s="18" t="str">
        <x:f>IF($A317="","",IF($C317=1,"Yes",IF(OR($I317="",$A317&lt;$I317),"Yes","Late")))</x:f>
      </x:c>
      <x:c r="M317" s="66" t="str">
        <x:f>IF($A317="","",IF($L317&lt;&gt;"Yes",0,IF($E317="",0,IF($J317="",0,IF($H317="Group",IF($E317=$J317,Setup!$H$2,Setup!$H$3),IF($E317=$K317,Setup!$H$2,Setup!$H$3))))))</x:f>
      </x:c>
      <x:c r="N317" s="66" t="str">
        <x:f>IF($A317="","",IF($L317&lt;&gt;"Yes",0,IF(OR($F317="",$G317=""),0,IF(AND($F317=VLOOKUP($C317,Matches!$A$2:$Q$200,9,FALSE),$G317=VLOOKUP($C317,Matches!$A$2:$Q$200,10,FALSE)),Setup!$H$5,0))))</x:f>
      </x:c>
      <x:c r="O317" s="66" t="str">
        <x:f>IF($A317="","",$M317+$N317)</x:f>
      </x:c>
      <x:c r="P317" s="18" t="str">
        <x:f>IF($A317="","",IF($L317="Late","Late - 0 points",IF($J317="","Waiting for result",IF($O317&gt;0,"Scored",IF($O317&lt;0,"Wrong pick","No points")))))</x:f>
      </x:c>
    </x:row>
    <x:row r="318">
      <x:c r="A318" s="60" t="n">
        <x:f>'Form Responses 1'!A318</x:f>
        <x:v>0</x:v>
      </x:c>
      <x:c r="B318" s="18" t="n">
        <x:f>'Form Responses 1'!B318</x:f>
        <x:v>0</x:v>
      </x:c>
      <x:c r="C318" s="18" t="n">
        <x:f>'Form Responses 1'!C318</x:f>
        <x:v>0</x:v>
      </x:c>
      <x:c r="D318" s="18" t="n">
        <x:f>'Form Responses 1'!D318</x:f>
        <x:v>0</x:v>
      </x:c>
      <x:c r="E318" s="18" t="n">
        <x:f>'Form Responses 1'!E318</x:f>
        <x:v>0</x:v>
      </x:c>
      <x:c r="F318" s="18" t="n">
        <x:f>'Form Responses 1'!F318</x:f>
        <x:v>0</x:v>
      </x:c>
      <x:c r="G318" s="18" t="n">
        <x:f>'Form Responses 1'!G318</x:f>
        <x:v>0</x:v>
      </x:c>
      <x:c r="H318" s="18" t="str">
        <x:f>IF($C318="","",IFERROR(VLOOKUP($C318,Matches!$A$2:$Q$200,5,FALSE),"Unknown"))</x:f>
      </x:c>
      <x:c r="I318" s="60" t="str">
        <x:f>IF($C318="","",IFERROR(VLOOKUP($C318,Matches!$A$2:$Q$200,16,FALSE),""))</x:f>
      </x:c>
      <x:c r="J318" s="18" t="str">
        <x:f>IF($C318="","",IFERROR(VLOOKUP($C318,Matches!$A$2:$Q$200,11,FALSE),""))</x:f>
      </x:c>
      <x:c r="K318" s="18" t="str">
        <x:f>IF($C318="","",IFERROR(VLOOKUP($C318,Matches!$A$2:$Q$200,12,FALSE),""))</x:f>
      </x:c>
      <x:c r="L318" s="18" t="str">
        <x:f>IF($A318="","",IF($C318=1,"Yes",IF(OR($I318="",$A318&lt;$I318),"Yes","Late")))</x:f>
      </x:c>
      <x:c r="M318" s="66" t="str">
        <x:f>IF($A318="","",IF($L318&lt;&gt;"Yes",0,IF($E318="",0,IF($J318="",0,IF($H318="Group",IF($E318=$J318,Setup!$H$2,Setup!$H$3),IF($E318=$K318,Setup!$H$2,Setup!$H$3))))))</x:f>
      </x:c>
      <x:c r="N318" s="66" t="str">
        <x:f>IF($A318="","",IF($L318&lt;&gt;"Yes",0,IF(OR($F318="",$G318=""),0,IF(AND($F318=VLOOKUP($C318,Matches!$A$2:$Q$200,9,FALSE),$G318=VLOOKUP($C318,Matches!$A$2:$Q$200,10,FALSE)),Setup!$H$5,0))))</x:f>
      </x:c>
      <x:c r="O318" s="66" t="str">
        <x:f>IF($A318="","",$M318+$N318)</x:f>
      </x:c>
      <x:c r="P318" s="18" t="str">
        <x:f>IF($A318="","",IF($L318="Late","Late - 0 points",IF($J318="","Waiting for result",IF($O318&gt;0,"Scored",IF($O318&lt;0,"Wrong pick","No points")))))</x:f>
      </x:c>
    </x:row>
    <x:row r="319">
      <x:c r="A319" s="60" t="n">
        <x:f>'Form Responses 1'!A319</x:f>
        <x:v>0</x:v>
      </x:c>
      <x:c r="B319" s="18" t="n">
        <x:f>'Form Responses 1'!B319</x:f>
        <x:v>0</x:v>
      </x:c>
      <x:c r="C319" s="18" t="n">
        <x:f>'Form Responses 1'!C319</x:f>
        <x:v>0</x:v>
      </x:c>
      <x:c r="D319" s="18" t="n">
        <x:f>'Form Responses 1'!D319</x:f>
        <x:v>0</x:v>
      </x:c>
      <x:c r="E319" s="18" t="n">
        <x:f>'Form Responses 1'!E319</x:f>
        <x:v>0</x:v>
      </x:c>
      <x:c r="F319" s="18" t="n">
        <x:f>'Form Responses 1'!F319</x:f>
        <x:v>0</x:v>
      </x:c>
      <x:c r="G319" s="18" t="n">
        <x:f>'Form Responses 1'!G319</x:f>
        <x:v>0</x:v>
      </x:c>
      <x:c r="H319" s="18" t="str">
        <x:f>IF($C319="","",IFERROR(VLOOKUP($C319,Matches!$A$2:$Q$200,5,FALSE),"Unknown"))</x:f>
      </x:c>
      <x:c r="I319" s="60" t="str">
        <x:f>IF($C319="","",IFERROR(VLOOKUP($C319,Matches!$A$2:$Q$200,16,FALSE),""))</x:f>
      </x:c>
      <x:c r="J319" s="18" t="str">
        <x:f>IF($C319="","",IFERROR(VLOOKUP($C319,Matches!$A$2:$Q$200,11,FALSE),""))</x:f>
      </x:c>
      <x:c r="K319" s="18" t="str">
        <x:f>IF($C319="","",IFERROR(VLOOKUP($C319,Matches!$A$2:$Q$200,12,FALSE),""))</x:f>
      </x:c>
      <x:c r="L319" s="18" t="str">
        <x:f>IF($A319="","",IF($C319=1,"Yes",IF(OR($I319="",$A319&lt;$I319),"Yes","Late")))</x:f>
      </x:c>
      <x:c r="M319" s="66" t="str">
        <x:f>IF($A319="","",IF($L319&lt;&gt;"Yes",0,IF($E319="",0,IF($J319="",0,IF($H319="Group",IF($E319=$J319,Setup!$H$2,Setup!$H$3),IF($E319=$K319,Setup!$H$2,Setup!$H$3))))))</x:f>
      </x:c>
      <x:c r="N319" s="66" t="str">
        <x:f>IF($A319="","",IF($L319&lt;&gt;"Yes",0,IF(OR($F319="",$G319=""),0,IF(AND($F319=VLOOKUP($C319,Matches!$A$2:$Q$200,9,FALSE),$G319=VLOOKUP($C319,Matches!$A$2:$Q$200,10,FALSE)),Setup!$H$5,0))))</x:f>
      </x:c>
      <x:c r="O319" s="66" t="str">
        <x:f>IF($A319="","",$M319+$N319)</x:f>
      </x:c>
      <x:c r="P319" s="18" t="str">
        <x:f>IF($A319="","",IF($L319="Late","Late - 0 points",IF($J319="","Waiting for result",IF($O319&gt;0,"Scored",IF($O319&lt;0,"Wrong pick","No points")))))</x:f>
      </x:c>
    </x:row>
    <x:row r="320">
      <x:c r="A320" s="60" t="n">
        <x:f>'Form Responses 1'!A320</x:f>
        <x:v>0</x:v>
      </x:c>
      <x:c r="B320" s="18" t="n">
        <x:f>'Form Responses 1'!B320</x:f>
        <x:v>0</x:v>
      </x:c>
      <x:c r="C320" s="18" t="n">
        <x:f>'Form Responses 1'!C320</x:f>
        <x:v>0</x:v>
      </x:c>
      <x:c r="D320" s="18" t="n">
        <x:f>'Form Responses 1'!D320</x:f>
        <x:v>0</x:v>
      </x:c>
      <x:c r="E320" s="18" t="n">
        <x:f>'Form Responses 1'!E320</x:f>
        <x:v>0</x:v>
      </x:c>
      <x:c r="F320" s="18" t="n">
        <x:f>'Form Responses 1'!F320</x:f>
        <x:v>0</x:v>
      </x:c>
      <x:c r="G320" s="18" t="n">
        <x:f>'Form Responses 1'!G320</x:f>
        <x:v>0</x:v>
      </x:c>
      <x:c r="H320" s="18" t="str">
        <x:f>IF($C320="","",IFERROR(VLOOKUP($C320,Matches!$A$2:$Q$200,5,FALSE),"Unknown"))</x:f>
      </x:c>
      <x:c r="I320" s="60" t="str">
        <x:f>IF($C320="","",IFERROR(VLOOKUP($C320,Matches!$A$2:$Q$200,16,FALSE),""))</x:f>
      </x:c>
      <x:c r="J320" s="18" t="str">
        <x:f>IF($C320="","",IFERROR(VLOOKUP($C320,Matches!$A$2:$Q$200,11,FALSE),""))</x:f>
      </x:c>
      <x:c r="K320" s="18" t="str">
        <x:f>IF($C320="","",IFERROR(VLOOKUP($C320,Matches!$A$2:$Q$200,12,FALSE),""))</x:f>
      </x:c>
      <x:c r="L320" s="18" t="str">
        <x:f>IF($A320="","",IF($C320=1,"Yes",IF(OR($I320="",$A320&lt;$I320),"Yes","Late")))</x:f>
      </x:c>
      <x:c r="M320" s="66" t="str">
        <x:f>IF($A320="","",IF($L320&lt;&gt;"Yes",0,IF($E320="",0,IF($J320="",0,IF($H320="Group",IF($E320=$J320,Setup!$H$2,Setup!$H$3),IF($E320=$K320,Setup!$H$2,Setup!$H$3))))))</x:f>
      </x:c>
      <x:c r="N320" s="66" t="str">
        <x:f>IF($A320="","",IF($L320&lt;&gt;"Yes",0,IF(OR($F320="",$G320=""),0,IF(AND($F320=VLOOKUP($C320,Matches!$A$2:$Q$200,9,FALSE),$G320=VLOOKUP($C320,Matches!$A$2:$Q$200,10,FALSE)),Setup!$H$5,0))))</x:f>
      </x:c>
      <x:c r="O320" s="66" t="str">
        <x:f>IF($A320="","",$M320+$N320)</x:f>
      </x:c>
      <x:c r="P320" s="18" t="str">
        <x:f>IF($A320="","",IF($L320="Late","Late - 0 points",IF($J320="","Waiting for result",IF($O320&gt;0,"Scored",IF($O320&lt;0,"Wrong pick","No points")))))</x:f>
      </x:c>
    </x:row>
    <x:row r="321">
      <x:c r="A321" s="60" t="n">
        <x:f>'Form Responses 1'!A321</x:f>
        <x:v>0</x:v>
      </x:c>
      <x:c r="B321" s="18" t="n">
        <x:f>'Form Responses 1'!B321</x:f>
        <x:v>0</x:v>
      </x:c>
      <x:c r="C321" s="18" t="n">
        <x:f>'Form Responses 1'!C321</x:f>
        <x:v>0</x:v>
      </x:c>
      <x:c r="D321" s="18" t="n">
        <x:f>'Form Responses 1'!D321</x:f>
        <x:v>0</x:v>
      </x:c>
      <x:c r="E321" s="18" t="n">
        <x:f>'Form Responses 1'!E321</x:f>
        <x:v>0</x:v>
      </x:c>
      <x:c r="F321" s="18" t="n">
        <x:f>'Form Responses 1'!F321</x:f>
        <x:v>0</x:v>
      </x:c>
      <x:c r="G321" s="18" t="n">
        <x:f>'Form Responses 1'!G321</x:f>
        <x:v>0</x:v>
      </x:c>
      <x:c r="H321" s="18" t="str">
        <x:f>IF($C321="","",IFERROR(VLOOKUP($C321,Matches!$A$2:$Q$200,5,FALSE),"Unknown"))</x:f>
      </x:c>
      <x:c r="I321" s="60" t="str">
        <x:f>IF($C321="","",IFERROR(VLOOKUP($C321,Matches!$A$2:$Q$200,16,FALSE),""))</x:f>
      </x:c>
      <x:c r="J321" s="18" t="str">
        <x:f>IF($C321="","",IFERROR(VLOOKUP($C321,Matches!$A$2:$Q$200,11,FALSE),""))</x:f>
      </x:c>
      <x:c r="K321" s="18" t="str">
        <x:f>IF($C321="","",IFERROR(VLOOKUP($C321,Matches!$A$2:$Q$200,12,FALSE),""))</x:f>
      </x:c>
      <x:c r="L321" s="18" t="str">
        <x:f>IF($A321="","",IF($C321=1,"Yes",IF(OR($I321="",$A321&lt;$I321),"Yes","Late")))</x:f>
      </x:c>
      <x:c r="M321" s="66" t="str">
        <x:f>IF($A321="","",IF($L321&lt;&gt;"Yes",0,IF($E321="",0,IF($J321="",0,IF($H321="Group",IF($E321=$J321,Setup!$H$2,Setup!$H$3),IF($E321=$K321,Setup!$H$2,Setup!$H$3))))))</x:f>
      </x:c>
      <x:c r="N321" s="66" t="str">
        <x:f>IF($A321="","",IF($L321&lt;&gt;"Yes",0,IF(OR($F321="",$G321=""),0,IF(AND($F321=VLOOKUP($C321,Matches!$A$2:$Q$200,9,FALSE),$G321=VLOOKUP($C321,Matches!$A$2:$Q$200,10,FALSE)),Setup!$H$5,0))))</x:f>
      </x:c>
      <x:c r="O321" s="66" t="str">
        <x:f>IF($A321="","",$M321+$N321)</x:f>
      </x:c>
      <x:c r="P321" s="18" t="str">
        <x:f>IF($A321="","",IF($L321="Late","Late - 0 points",IF($J321="","Waiting for result",IF($O321&gt;0,"Scored",IF($O321&lt;0,"Wrong pick","No points")))))</x:f>
      </x:c>
    </x:row>
    <x:row r="322">
      <x:c r="A322" s="60" t="n">
        <x:f>'Form Responses 1'!A322</x:f>
        <x:v>0</x:v>
      </x:c>
      <x:c r="B322" s="18" t="n">
        <x:f>'Form Responses 1'!B322</x:f>
        <x:v>0</x:v>
      </x:c>
      <x:c r="C322" s="18" t="n">
        <x:f>'Form Responses 1'!C322</x:f>
        <x:v>0</x:v>
      </x:c>
      <x:c r="D322" s="18" t="n">
        <x:f>'Form Responses 1'!D322</x:f>
        <x:v>0</x:v>
      </x:c>
      <x:c r="E322" s="18" t="n">
        <x:f>'Form Responses 1'!E322</x:f>
        <x:v>0</x:v>
      </x:c>
      <x:c r="F322" s="18" t="n">
        <x:f>'Form Responses 1'!F322</x:f>
        <x:v>0</x:v>
      </x:c>
      <x:c r="G322" s="18" t="n">
        <x:f>'Form Responses 1'!G322</x:f>
        <x:v>0</x:v>
      </x:c>
      <x:c r="H322" s="18" t="str">
        <x:f>IF($C322="","",IFERROR(VLOOKUP($C322,Matches!$A$2:$Q$200,5,FALSE),"Unknown"))</x:f>
      </x:c>
      <x:c r="I322" s="60" t="str">
        <x:f>IF($C322="","",IFERROR(VLOOKUP($C322,Matches!$A$2:$Q$200,16,FALSE),""))</x:f>
      </x:c>
      <x:c r="J322" s="18" t="str">
        <x:f>IF($C322="","",IFERROR(VLOOKUP($C322,Matches!$A$2:$Q$200,11,FALSE),""))</x:f>
      </x:c>
      <x:c r="K322" s="18" t="str">
        <x:f>IF($C322="","",IFERROR(VLOOKUP($C322,Matches!$A$2:$Q$200,12,FALSE),""))</x:f>
      </x:c>
      <x:c r="L322" s="18" t="str">
        <x:f>IF($A322="","",IF($C322=1,"Yes",IF(OR($I322="",$A322&lt;$I322),"Yes","Late")))</x:f>
      </x:c>
      <x:c r="M322" s="66" t="str">
        <x:f>IF($A322="","",IF($L322&lt;&gt;"Yes",0,IF($E322="",0,IF($J322="",0,IF($H322="Group",IF($E322=$J322,Setup!$H$2,Setup!$H$3),IF($E322=$K322,Setup!$H$2,Setup!$H$3))))))</x:f>
      </x:c>
      <x:c r="N322" s="66" t="str">
        <x:f>IF($A322="","",IF($L322&lt;&gt;"Yes",0,IF(OR($F322="",$G322=""),0,IF(AND($F322=VLOOKUP($C322,Matches!$A$2:$Q$200,9,FALSE),$G322=VLOOKUP($C322,Matches!$A$2:$Q$200,10,FALSE)),Setup!$H$5,0))))</x:f>
      </x:c>
      <x:c r="O322" s="66" t="str">
        <x:f>IF($A322="","",$M322+$N322)</x:f>
      </x:c>
      <x:c r="P322" s="18" t="str">
        <x:f>IF($A322="","",IF($L322="Late","Late - 0 points",IF($J322="","Waiting for result",IF($O322&gt;0,"Scored",IF($O322&lt;0,"Wrong pick","No points")))))</x:f>
      </x:c>
    </x:row>
    <x:row r="323">
      <x:c r="A323" s="60" t="n">
        <x:f>'Form Responses 1'!A323</x:f>
        <x:v>0</x:v>
      </x:c>
      <x:c r="B323" s="18" t="n">
        <x:f>'Form Responses 1'!B323</x:f>
        <x:v>0</x:v>
      </x:c>
      <x:c r="C323" s="18" t="n">
        <x:f>'Form Responses 1'!C323</x:f>
        <x:v>0</x:v>
      </x:c>
      <x:c r="D323" s="18" t="n">
        <x:f>'Form Responses 1'!D323</x:f>
        <x:v>0</x:v>
      </x:c>
      <x:c r="E323" s="18" t="n">
        <x:f>'Form Responses 1'!E323</x:f>
        <x:v>0</x:v>
      </x:c>
      <x:c r="F323" s="18" t="n">
        <x:f>'Form Responses 1'!F323</x:f>
        <x:v>0</x:v>
      </x:c>
      <x:c r="G323" s="18" t="n">
        <x:f>'Form Responses 1'!G323</x:f>
        <x:v>0</x:v>
      </x:c>
      <x:c r="H323" s="18" t="str">
        <x:f>IF($C323="","",IFERROR(VLOOKUP($C323,Matches!$A$2:$Q$200,5,FALSE),"Unknown"))</x:f>
      </x:c>
      <x:c r="I323" s="60" t="str">
        <x:f>IF($C323="","",IFERROR(VLOOKUP($C323,Matches!$A$2:$Q$200,16,FALSE),""))</x:f>
      </x:c>
      <x:c r="J323" s="18" t="str">
        <x:f>IF($C323="","",IFERROR(VLOOKUP($C323,Matches!$A$2:$Q$200,11,FALSE),""))</x:f>
      </x:c>
      <x:c r="K323" s="18" t="str">
        <x:f>IF($C323="","",IFERROR(VLOOKUP($C323,Matches!$A$2:$Q$200,12,FALSE),""))</x:f>
      </x:c>
      <x:c r="L323" s="18" t="str">
        <x:f>IF($A323="","",IF($C323=1,"Yes",IF(OR($I323="",$A323&lt;$I323),"Yes","Late")))</x:f>
      </x:c>
      <x:c r="M323" s="66" t="str">
        <x:f>IF($A323="","",IF($L323&lt;&gt;"Yes",0,IF($E323="",0,IF($J323="",0,IF($H323="Group",IF($E323=$J323,Setup!$H$2,Setup!$H$3),IF($E323=$K323,Setup!$H$2,Setup!$H$3))))))</x:f>
      </x:c>
      <x:c r="N323" s="66" t="str">
        <x:f>IF($A323="","",IF($L323&lt;&gt;"Yes",0,IF(OR($F323="",$G323=""),0,IF(AND($F323=VLOOKUP($C323,Matches!$A$2:$Q$200,9,FALSE),$G323=VLOOKUP($C323,Matches!$A$2:$Q$200,10,FALSE)),Setup!$H$5,0))))</x:f>
      </x:c>
      <x:c r="O323" s="66" t="str">
        <x:f>IF($A323="","",$M323+$N323)</x:f>
      </x:c>
      <x:c r="P323" s="18" t="str">
        <x:f>IF($A323="","",IF($L323="Late","Late - 0 points",IF($J323="","Waiting for result",IF($O323&gt;0,"Scored",IF($O323&lt;0,"Wrong pick","No points")))))</x:f>
      </x:c>
    </x:row>
    <x:row r="324">
      <x:c r="A324" s="60" t="n">
        <x:f>'Form Responses 1'!A324</x:f>
        <x:v>0</x:v>
      </x:c>
      <x:c r="B324" s="18" t="n">
        <x:f>'Form Responses 1'!B324</x:f>
        <x:v>0</x:v>
      </x:c>
      <x:c r="C324" s="18" t="n">
        <x:f>'Form Responses 1'!C324</x:f>
        <x:v>0</x:v>
      </x:c>
      <x:c r="D324" s="18" t="n">
        <x:f>'Form Responses 1'!D324</x:f>
        <x:v>0</x:v>
      </x:c>
      <x:c r="E324" s="18" t="n">
        <x:f>'Form Responses 1'!E324</x:f>
        <x:v>0</x:v>
      </x:c>
      <x:c r="F324" s="18" t="n">
        <x:f>'Form Responses 1'!F324</x:f>
        <x:v>0</x:v>
      </x:c>
      <x:c r="G324" s="18" t="n">
        <x:f>'Form Responses 1'!G324</x:f>
        <x:v>0</x:v>
      </x:c>
      <x:c r="H324" s="18" t="str">
        <x:f>IF($C324="","",IFERROR(VLOOKUP($C324,Matches!$A$2:$Q$200,5,FALSE),"Unknown"))</x:f>
      </x:c>
      <x:c r="I324" s="60" t="str">
        <x:f>IF($C324="","",IFERROR(VLOOKUP($C324,Matches!$A$2:$Q$200,16,FALSE),""))</x:f>
      </x:c>
      <x:c r="J324" s="18" t="str">
        <x:f>IF($C324="","",IFERROR(VLOOKUP($C324,Matches!$A$2:$Q$200,11,FALSE),""))</x:f>
      </x:c>
      <x:c r="K324" s="18" t="str">
        <x:f>IF($C324="","",IFERROR(VLOOKUP($C324,Matches!$A$2:$Q$200,12,FALSE),""))</x:f>
      </x:c>
      <x:c r="L324" s="18" t="str">
        <x:f>IF($A324="","",IF($C324=1,"Yes",IF(OR($I324="",$A324&lt;$I324),"Yes","Late")))</x:f>
      </x:c>
      <x:c r="M324" s="66" t="str">
        <x:f>IF($A324="","",IF($L324&lt;&gt;"Yes",0,IF($E324="",0,IF($J324="",0,IF($H324="Group",IF($E324=$J324,Setup!$H$2,Setup!$H$3),IF($E324=$K324,Setup!$H$2,Setup!$H$3))))))</x:f>
      </x:c>
      <x:c r="N324" s="66" t="str">
        <x:f>IF($A324="","",IF($L324&lt;&gt;"Yes",0,IF(OR($F324="",$G324=""),0,IF(AND($F324=VLOOKUP($C324,Matches!$A$2:$Q$200,9,FALSE),$G324=VLOOKUP($C324,Matches!$A$2:$Q$200,10,FALSE)),Setup!$H$5,0))))</x:f>
      </x:c>
      <x:c r="O324" s="66" t="str">
        <x:f>IF($A324="","",$M324+$N324)</x:f>
      </x:c>
      <x:c r="P324" s="18" t="str">
        <x:f>IF($A324="","",IF($L324="Late","Late - 0 points",IF($J324="","Waiting for result",IF($O324&gt;0,"Scored",IF($O324&lt;0,"Wrong pick","No points")))))</x:f>
      </x:c>
    </x:row>
    <x:row r="325">
      <x:c r="A325" s="60" t="n">
        <x:f>'Form Responses 1'!A325</x:f>
        <x:v>0</x:v>
      </x:c>
      <x:c r="B325" s="18" t="n">
        <x:f>'Form Responses 1'!B325</x:f>
        <x:v>0</x:v>
      </x:c>
      <x:c r="C325" s="18" t="n">
        <x:f>'Form Responses 1'!C325</x:f>
        <x:v>0</x:v>
      </x:c>
      <x:c r="D325" s="18" t="n">
        <x:f>'Form Responses 1'!D325</x:f>
        <x:v>0</x:v>
      </x:c>
      <x:c r="E325" s="18" t="n">
        <x:f>'Form Responses 1'!E325</x:f>
        <x:v>0</x:v>
      </x:c>
      <x:c r="F325" s="18" t="n">
        <x:f>'Form Responses 1'!F325</x:f>
        <x:v>0</x:v>
      </x:c>
      <x:c r="G325" s="18" t="n">
        <x:f>'Form Responses 1'!G325</x:f>
        <x:v>0</x:v>
      </x:c>
      <x:c r="H325" s="18" t="str">
        <x:f>IF($C325="","",IFERROR(VLOOKUP($C325,Matches!$A$2:$Q$200,5,FALSE),"Unknown"))</x:f>
      </x:c>
      <x:c r="I325" s="60" t="str">
        <x:f>IF($C325="","",IFERROR(VLOOKUP($C325,Matches!$A$2:$Q$200,16,FALSE),""))</x:f>
      </x:c>
      <x:c r="J325" s="18" t="str">
        <x:f>IF($C325="","",IFERROR(VLOOKUP($C325,Matches!$A$2:$Q$200,11,FALSE),""))</x:f>
      </x:c>
      <x:c r="K325" s="18" t="str">
        <x:f>IF($C325="","",IFERROR(VLOOKUP($C325,Matches!$A$2:$Q$200,12,FALSE),""))</x:f>
      </x:c>
      <x:c r="L325" s="18" t="str">
        <x:f>IF($A325="","",IF($C325=1,"Yes",IF(OR($I325="",$A325&lt;$I325),"Yes","Late")))</x:f>
      </x:c>
      <x:c r="M325" s="66" t="str">
        <x:f>IF($A325="","",IF($L325&lt;&gt;"Yes",0,IF($E325="",0,IF($J325="",0,IF($H325="Group",IF($E325=$J325,Setup!$H$2,Setup!$H$3),IF($E325=$K325,Setup!$H$2,Setup!$H$3))))))</x:f>
      </x:c>
      <x:c r="N325" s="66" t="str">
        <x:f>IF($A325="","",IF($L325&lt;&gt;"Yes",0,IF(OR($F325="",$G325=""),0,IF(AND($F325=VLOOKUP($C325,Matches!$A$2:$Q$200,9,FALSE),$G325=VLOOKUP($C325,Matches!$A$2:$Q$200,10,FALSE)),Setup!$H$5,0))))</x:f>
      </x:c>
      <x:c r="O325" s="66" t="str">
        <x:f>IF($A325="","",$M325+$N325)</x:f>
      </x:c>
      <x:c r="P325" s="18" t="str">
        <x:f>IF($A325="","",IF($L325="Late","Late - 0 points",IF($J325="","Waiting for result",IF($O325&gt;0,"Scored",IF($O325&lt;0,"Wrong pick","No points")))))</x:f>
      </x:c>
    </x:row>
    <x:row r="326">
      <x:c r="A326" s="60" t="n">
        <x:f>'Form Responses 1'!A326</x:f>
        <x:v>0</x:v>
      </x:c>
      <x:c r="B326" s="18" t="n">
        <x:f>'Form Responses 1'!B326</x:f>
        <x:v>0</x:v>
      </x:c>
      <x:c r="C326" s="18" t="n">
        <x:f>'Form Responses 1'!C326</x:f>
        <x:v>0</x:v>
      </x:c>
      <x:c r="D326" s="18" t="n">
        <x:f>'Form Responses 1'!D326</x:f>
        <x:v>0</x:v>
      </x:c>
      <x:c r="E326" s="18" t="n">
        <x:f>'Form Responses 1'!E326</x:f>
        <x:v>0</x:v>
      </x:c>
      <x:c r="F326" s="18" t="n">
        <x:f>'Form Responses 1'!F326</x:f>
        <x:v>0</x:v>
      </x:c>
      <x:c r="G326" s="18" t="n">
        <x:f>'Form Responses 1'!G326</x:f>
        <x:v>0</x:v>
      </x:c>
      <x:c r="H326" s="18" t="str">
        <x:f>IF($C326="","",IFERROR(VLOOKUP($C326,Matches!$A$2:$Q$200,5,FALSE),"Unknown"))</x:f>
      </x:c>
      <x:c r="I326" s="60" t="str">
        <x:f>IF($C326="","",IFERROR(VLOOKUP($C326,Matches!$A$2:$Q$200,16,FALSE),""))</x:f>
      </x:c>
      <x:c r="J326" s="18" t="str">
        <x:f>IF($C326="","",IFERROR(VLOOKUP($C326,Matches!$A$2:$Q$200,11,FALSE),""))</x:f>
      </x:c>
      <x:c r="K326" s="18" t="str">
        <x:f>IF($C326="","",IFERROR(VLOOKUP($C326,Matches!$A$2:$Q$200,12,FALSE),""))</x:f>
      </x:c>
      <x:c r="L326" s="18" t="str">
        <x:f>IF($A326="","",IF($C326=1,"Yes",IF(OR($I326="",$A326&lt;$I326),"Yes","Late")))</x:f>
      </x:c>
      <x:c r="M326" s="66" t="str">
        <x:f>IF($A326="","",IF($L326&lt;&gt;"Yes",0,IF($E326="",0,IF($J326="",0,IF($H326="Group",IF($E326=$J326,Setup!$H$2,Setup!$H$3),IF($E326=$K326,Setup!$H$2,Setup!$H$3))))))</x:f>
      </x:c>
      <x:c r="N326" s="66" t="str">
        <x:f>IF($A326="","",IF($L326&lt;&gt;"Yes",0,IF(OR($F326="",$G326=""),0,IF(AND($F326=VLOOKUP($C326,Matches!$A$2:$Q$200,9,FALSE),$G326=VLOOKUP($C326,Matches!$A$2:$Q$200,10,FALSE)),Setup!$H$5,0))))</x:f>
      </x:c>
      <x:c r="O326" s="66" t="str">
        <x:f>IF($A326="","",$M326+$N326)</x:f>
      </x:c>
      <x:c r="P326" s="18" t="str">
        <x:f>IF($A326="","",IF($L326="Late","Late - 0 points",IF($J326="","Waiting for result",IF($O326&gt;0,"Scored",IF($O326&lt;0,"Wrong pick","No points")))))</x:f>
      </x:c>
    </x:row>
    <x:row r="327">
      <x:c r="A327" s="60" t="n">
        <x:f>'Form Responses 1'!A327</x:f>
        <x:v>0</x:v>
      </x:c>
      <x:c r="B327" s="18" t="n">
        <x:f>'Form Responses 1'!B327</x:f>
        <x:v>0</x:v>
      </x:c>
      <x:c r="C327" s="18" t="n">
        <x:f>'Form Responses 1'!C327</x:f>
        <x:v>0</x:v>
      </x:c>
      <x:c r="D327" s="18" t="n">
        <x:f>'Form Responses 1'!D327</x:f>
        <x:v>0</x:v>
      </x:c>
      <x:c r="E327" s="18" t="n">
        <x:f>'Form Responses 1'!E327</x:f>
        <x:v>0</x:v>
      </x:c>
      <x:c r="F327" s="18" t="n">
        <x:f>'Form Responses 1'!F327</x:f>
        <x:v>0</x:v>
      </x:c>
      <x:c r="G327" s="18" t="n">
        <x:f>'Form Responses 1'!G327</x:f>
        <x:v>0</x:v>
      </x:c>
      <x:c r="H327" s="18" t="str">
        <x:f>IF($C327="","",IFERROR(VLOOKUP($C327,Matches!$A$2:$Q$200,5,FALSE),"Unknown"))</x:f>
      </x:c>
      <x:c r="I327" s="60" t="str">
        <x:f>IF($C327="","",IFERROR(VLOOKUP($C327,Matches!$A$2:$Q$200,16,FALSE),""))</x:f>
      </x:c>
      <x:c r="J327" s="18" t="str">
        <x:f>IF($C327="","",IFERROR(VLOOKUP($C327,Matches!$A$2:$Q$200,11,FALSE),""))</x:f>
      </x:c>
      <x:c r="K327" s="18" t="str">
        <x:f>IF($C327="","",IFERROR(VLOOKUP($C327,Matches!$A$2:$Q$200,12,FALSE),""))</x:f>
      </x:c>
      <x:c r="L327" s="18" t="str">
        <x:f>IF($A327="","",IF($C327=1,"Yes",IF(OR($I327="",$A327&lt;$I327),"Yes","Late")))</x:f>
      </x:c>
      <x:c r="M327" s="66" t="str">
        <x:f>IF($A327="","",IF($L327&lt;&gt;"Yes",0,IF($E327="",0,IF($J327="",0,IF($H327="Group",IF($E327=$J327,Setup!$H$2,Setup!$H$3),IF($E327=$K327,Setup!$H$2,Setup!$H$3))))))</x:f>
      </x:c>
      <x:c r="N327" s="66" t="str">
        <x:f>IF($A327="","",IF($L327&lt;&gt;"Yes",0,IF(OR($F327="",$G327=""),0,IF(AND($F327=VLOOKUP($C327,Matches!$A$2:$Q$200,9,FALSE),$G327=VLOOKUP($C327,Matches!$A$2:$Q$200,10,FALSE)),Setup!$H$5,0))))</x:f>
      </x:c>
      <x:c r="O327" s="66" t="str">
        <x:f>IF($A327="","",$M327+$N327)</x:f>
      </x:c>
      <x:c r="P327" s="18" t="str">
        <x:f>IF($A327="","",IF($L327="Late","Late - 0 points",IF($J327="","Waiting for result",IF($O327&gt;0,"Scored",IF($O327&lt;0,"Wrong pick","No points")))))</x:f>
      </x:c>
    </x:row>
    <x:row r="328">
      <x:c r="A328" s="60" t="n">
        <x:f>'Form Responses 1'!A328</x:f>
        <x:v>0</x:v>
      </x:c>
      <x:c r="B328" s="18" t="n">
        <x:f>'Form Responses 1'!B328</x:f>
        <x:v>0</x:v>
      </x:c>
      <x:c r="C328" s="18" t="n">
        <x:f>'Form Responses 1'!C328</x:f>
        <x:v>0</x:v>
      </x:c>
      <x:c r="D328" s="18" t="n">
        <x:f>'Form Responses 1'!D328</x:f>
        <x:v>0</x:v>
      </x:c>
      <x:c r="E328" s="18" t="n">
        <x:f>'Form Responses 1'!E328</x:f>
        <x:v>0</x:v>
      </x:c>
      <x:c r="F328" s="18" t="n">
        <x:f>'Form Responses 1'!F328</x:f>
        <x:v>0</x:v>
      </x:c>
      <x:c r="G328" s="18" t="n">
        <x:f>'Form Responses 1'!G328</x:f>
        <x:v>0</x:v>
      </x:c>
      <x:c r="H328" s="18" t="str">
        <x:f>IF($C328="","",IFERROR(VLOOKUP($C328,Matches!$A$2:$Q$200,5,FALSE),"Unknown"))</x:f>
      </x:c>
      <x:c r="I328" s="60" t="str">
        <x:f>IF($C328="","",IFERROR(VLOOKUP($C328,Matches!$A$2:$Q$200,16,FALSE),""))</x:f>
      </x:c>
      <x:c r="J328" s="18" t="str">
        <x:f>IF($C328="","",IFERROR(VLOOKUP($C328,Matches!$A$2:$Q$200,11,FALSE),""))</x:f>
      </x:c>
      <x:c r="K328" s="18" t="str">
        <x:f>IF($C328="","",IFERROR(VLOOKUP($C328,Matches!$A$2:$Q$200,12,FALSE),""))</x:f>
      </x:c>
      <x:c r="L328" s="18" t="str">
        <x:f>IF($A328="","",IF($C328=1,"Yes",IF(OR($I328="",$A328&lt;$I328),"Yes","Late")))</x:f>
      </x:c>
      <x:c r="M328" s="66" t="str">
        <x:f>IF($A328="","",IF($L328&lt;&gt;"Yes",0,IF($E328="",0,IF($J328="",0,IF($H328="Group",IF($E328=$J328,Setup!$H$2,Setup!$H$3),IF($E328=$K328,Setup!$H$2,Setup!$H$3))))))</x:f>
      </x:c>
      <x:c r="N328" s="66" t="str">
        <x:f>IF($A328="","",IF($L328&lt;&gt;"Yes",0,IF(OR($F328="",$G328=""),0,IF(AND($F328=VLOOKUP($C328,Matches!$A$2:$Q$200,9,FALSE),$G328=VLOOKUP($C328,Matches!$A$2:$Q$200,10,FALSE)),Setup!$H$5,0))))</x:f>
      </x:c>
      <x:c r="O328" s="66" t="str">
        <x:f>IF($A328="","",$M328+$N328)</x:f>
      </x:c>
      <x:c r="P328" s="18" t="str">
        <x:f>IF($A328="","",IF($L328="Late","Late - 0 points",IF($J328="","Waiting for result",IF($O328&gt;0,"Scored",IF($O328&lt;0,"Wrong pick","No points")))))</x:f>
      </x:c>
    </x:row>
    <x:row r="329">
      <x:c r="A329" s="60" t="n">
        <x:f>'Form Responses 1'!A329</x:f>
        <x:v>0</x:v>
      </x:c>
      <x:c r="B329" s="18" t="n">
        <x:f>'Form Responses 1'!B329</x:f>
        <x:v>0</x:v>
      </x:c>
      <x:c r="C329" s="18" t="n">
        <x:f>'Form Responses 1'!C329</x:f>
        <x:v>0</x:v>
      </x:c>
      <x:c r="D329" s="18" t="n">
        <x:f>'Form Responses 1'!D329</x:f>
        <x:v>0</x:v>
      </x:c>
      <x:c r="E329" s="18" t="n">
        <x:f>'Form Responses 1'!E329</x:f>
        <x:v>0</x:v>
      </x:c>
      <x:c r="F329" s="18" t="n">
        <x:f>'Form Responses 1'!F329</x:f>
        <x:v>0</x:v>
      </x:c>
      <x:c r="G329" s="18" t="n">
        <x:f>'Form Responses 1'!G329</x:f>
        <x:v>0</x:v>
      </x:c>
      <x:c r="H329" s="18" t="str">
        <x:f>IF($C329="","",IFERROR(VLOOKUP($C329,Matches!$A$2:$Q$200,5,FALSE),"Unknown"))</x:f>
      </x:c>
      <x:c r="I329" s="60" t="str">
        <x:f>IF($C329="","",IFERROR(VLOOKUP($C329,Matches!$A$2:$Q$200,16,FALSE),""))</x:f>
      </x:c>
      <x:c r="J329" s="18" t="str">
        <x:f>IF($C329="","",IFERROR(VLOOKUP($C329,Matches!$A$2:$Q$200,11,FALSE),""))</x:f>
      </x:c>
      <x:c r="K329" s="18" t="str">
        <x:f>IF($C329="","",IFERROR(VLOOKUP($C329,Matches!$A$2:$Q$200,12,FALSE),""))</x:f>
      </x:c>
      <x:c r="L329" s="18" t="str">
        <x:f>IF($A329="","",IF($C329=1,"Yes",IF(OR($I329="",$A329&lt;$I329),"Yes","Late")))</x:f>
      </x:c>
      <x:c r="M329" s="66" t="str">
        <x:f>IF($A329="","",IF($L329&lt;&gt;"Yes",0,IF($E329="",0,IF($J329="",0,IF($H329="Group",IF($E329=$J329,Setup!$H$2,Setup!$H$3),IF($E329=$K329,Setup!$H$2,Setup!$H$3))))))</x:f>
      </x:c>
      <x:c r="N329" s="66" t="str">
        <x:f>IF($A329="","",IF($L329&lt;&gt;"Yes",0,IF(OR($F329="",$G329=""),0,IF(AND($F329=VLOOKUP($C329,Matches!$A$2:$Q$200,9,FALSE),$G329=VLOOKUP($C329,Matches!$A$2:$Q$200,10,FALSE)),Setup!$H$5,0))))</x:f>
      </x:c>
      <x:c r="O329" s="66" t="str">
        <x:f>IF($A329="","",$M329+$N329)</x:f>
      </x:c>
      <x:c r="P329" s="18" t="str">
        <x:f>IF($A329="","",IF($L329="Late","Late - 0 points",IF($J329="","Waiting for result",IF($O329&gt;0,"Scored",IF($O329&lt;0,"Wrong pick","No points")))))</x:f>
      </x:c>
    </x:row>
    <x:row r="330">
      <x:c r="A330" s="60" t="n">
        <x:f>'Form Responses 1'!A330</x:f>
        <x:v>0</x:v>
      </x:c>
      <x:c r="B330" s="18" t="n">
        <x:f>'Form Responses 1'!B330</x:f>
        <x:v>0</x:v>
      </x:c>
      <x:c r="C330" s="18" t="n">
        <x:f>'Form Responses 1'!C330</x:f>
        <x:v>0</x:v>
      </x:c>
      <x:c r="D330" s="18" t="n">
        <x:f>'Form Responses 1'!D330</x:f>
        <x:v>0</x:v>
      </x:c>
      <x:c r="E330" s="18" t="n">
        <x:f>'Form Responses 1'!E330</x:f>
        <x:v>0</x:v>
      </x:c>
      <x:c r="F330" s="18" t="n">
        <x:f>'Form Responses 1'!F330</x:f>
        <x:v>0</x:v>
      </x:c>
      <x:c r="G330" s="18" t="n">
        <x:f>'Form Responses 1'!G330</x:f>
        <x:v>0</x:v>
      </x:c>
      <x:c r="H330" s="18" t="str">
        <x:f>IF($C330="","",IFERROR(VLOOKUP($C330,Matches!$A$2:$Q$200,5,FALSE),"Unknown"))</x:f>
      </x:c>
      <x:c r="I330" s="60" t="str">
        <x:f>IF($C330="","",IFERROR(VLOOKUP($C330,Matches!$A$2:$Q$200,16,FALSE),""))</x:f>
      </x:c>
      <x:c r="J330" s="18" t="str">
        <x:f>IF($C330="","",IFERROR(VLOOKUP($C330,Matches!$A$2:$Q$200,11,FALSE),""))</x:f>
      </x:c>
      <x:c r="K330" s="18" t="str">
        <x:f>IF($C330="","",IFERROR(VLOOKUP($C330,Matches!$A$2:$Q$200,12,FALSE),""))</x:f>
      </x:c>
      <x:c r="L330" s="18" t="str">
        <x:f>IF($A330="","",IF($C330=1,"Yes",IF(OR($I330="",$A330&lt;$I330),"Yes","Late")))</x:f>
      </x:c>
      <x:c r="M330" s="66" t="str">
        <x:f>IF($A330="","",IF($L330&lt;&gt;"Yes",0,IF($E330="",0,IF($J330="",0,IF($H330="Group",IF($E330=$J330,Setup!$H$2,Setup!$H$3),IF($E330=$K330,Setup!$H$2,Setup!$H$3))))))</x:f>
      </x:c>
      <x:c r="N330" s="66" t="str">
        <x:f>IF($A330="","",IF($L330&lt;&gt;"Yes",0,IF(OR($F330="",$G330=""),0,IF(AND($F330=VLOOKUP($C330,Matches!$A$2:$Q$200,9,FALSE),$G330=VLOOKUP($C330,Matches!$A$2:$Q$200,10,FALSE)),Setup!$H$5,0))))</x:f>
      </x:c>
      <x:c r="O330" s="66" t="str">
        <x:f>IF($A330="","",$M330+$N330)</x:f>
      </x:c>
      <x:c r="P330" s="18" t="str">
        <x:f>IF($A330="","",IF($L330="Late","Late - 0 points",IF($J330="","Waiting for result",IF($O330&gt;0,"Scored",IF($O330&lt;0,"Wrong pick","No points")))))</x:f>
      </x:c>
    </x:row>
    <x:row r="331">
      <x:c r="A331" s="60" t="n">
        <x:f>'Form Responses 1'!A331</x:f>
        <x:v>0</x:v>
      </x:c>
      <x:c r="B331" s="18" t="n">
        <x:f>'Form Responses 1'!B331</x:f>
        <x:v>0</x:v>
      </x:c>
      <x:c r="C331" s="18" t="n">
        <x:f>'Form Responses 1'!C331</x:f>
        <x:v>0</x:v>
      </x:c>
      <x:c r="D331" s="18" t="n">
        <x:f>'Form Responses 1'!D331</x:f>
        <x:v>0</x:v>
      </x:c>
      <x:c r="E331" s="18" t="n">
        <x:f>'Form Responses 1'!E331</x:f>
        <x:v>0</x:v>
      </x:c>
      <x:c r="F331" s="18" t="n">
        <x:f>'Form Responses 1'!F331</x:f>
        <x:v>0</x:v>
      </x:c>
      <x:c r="G331" s="18" t="n">
        <x:f>'Form Responses 1'!G331</x:f>
        <x:v>0</x:v>
      </x:c>
      <x:c r="H331" s="18" t="str">
        <x:f>IF($C331="","",IFERROR(VLOOKUP($C331,Matches!$A$2:$Q$200,5,FALSE),"Unknown"))</x:f>
      </x:c>
      <x:c r="I331" s="60" t="str">
        <x:f>IF($C331="","",IFERROR(VLOOKUP($C331,Matches!$A$2:$Q$200,16,FALSE),""))</x:f>
      </x:c>
      <x:c r="J331" s="18" t="str">
        <x:f>IF($C331="","",IFERROR(VLOOKUP($C331,Matches!$A$2:$Q$200,11,FALSE),""))</x:f>
      </x:c>
      <x:c r="K331" s="18" t="str">
        <x:f>IF($C331="","",IFERROR(VLOOKUP($C331,Matches!$A$2:$Q$200,12,FALSE),""))</x:f>
      </x:c>
      <x:c r="L331" s="18" t="str">
        <x:f>IF($A331="","",IF($C331=1,"Yes",IF(OR($I331="",$A331&lt;$I331),"Yes","Late")))</x:f>
      </x:c>
      <x:c r="M331" s="66" t="str">
        <x:f>IF($A331="","",IF($L331&lt;&gt;"Yes",0,IF($E331="",0,IF($J331="",0,IF($H331="Group",IF($E331=$J331,Setup!$H$2,Setup!$H$3),IF($E331=$K331,Setup!$H$2,Setup!$H$3))))))</x:f>
      </x:c>
      <x:c r="N331" s="66" t="str">
        <x:f>IF($A331="","",IF($L331&lt;&gt;"Yes",0,IF(OR($F331="",$G331=""),0,IF(AND($F331=VLOOKUP($C331,Matches!$A$2:$Q$200,9,FALSE),$G331=VLOOKUP($C331,Matches!$A$2:$Q$200,10,FALSE)),Setup!$H$5,0))))</x:f>
      </x:c>
      <x:c r="O331" s="66" t="str">
        <x:f>IF($A331="","",$M331+$N331)</x:f>
      </x:c>
      <x:c r="P331" s="18" t="str">
        <x:f>IF($A331="","",IF($L331="Late","Late - 0 points",IF($J331="","Waiting for result",IF($O331&gt;0,"Scored",IF($O331&lt;0,"Wrong pick","No points")))))</x:f>
      </x:c>
    </x:row>
    <x:row r="332">
      <x:c r="A332" s="60" t="n">
        <x:f>'Form Responses 1'!A332</x:f>
        <x:v>0</x:v>
      </x:c>
      <x:c r="B332" s="18" t="n">
        <x:f>'Form Responses 1'!B332</x:f>
        <x:v>0</x:v>
      </x:c>
      <x:c r="C332" s="18" t="n">
        <x:f>'Form Responses 1'!C332</x:f>
        <x:v>0</x:v>
      </x:c>
      <x:c r="D332" s="18" t="n">
        <x:f>'Form Responses 1'!D332</x:f>
        <x:v>0</x:v>
      </x:c>
      <x:c r="E332" s="18" t="n">
        <x:f>'Form Responses 1'!E332</x:f>
        <x:v>0</x:v>
      </x:c>
      <x:c r="F332" s="18" t="n">
        <x:f>'Form Responses 1'!F332</x:f>
        <x:v>0</x:v>
      </x:c>
      <x:c r="G332" s="18" t="n">
        <x:f>'Form Responses 1'!G332</x:f>
        <x:v>0</x:v>
      </x:c>
      <x:c r="H332" s="18" t="str">
        <x:f>IF($C332="","",IFERROR(VLOOKUP($C332,Matches!$A$2:$Q$200,5,FALSE),"Unknown"))</x:f>
      </x:c>
      <x:c r="I332" s="60" t="str">
        <x:f>IF($C332="","",IFERROR(VLOOKUP($C332,Matches!$A$2:$Q$200,16,FALSE),""))</x:f>
      </x:c>
      <x:c r="J332" s="18" t="str">
        <x:f>IF($C332="","",IFERROR(VLOOKUP($C332,Matches!$A$2:$Q$200,11,FALSE),""))</x:f>
      </x:c>
      <x:c r="K332" s="18" t="str">
        <x:f>IF($C332="","",IFERROR(VLOOKUP($C332,Matches!$A$2:$Q$200,12,FALSE),""))</x:f>
      </x:c>
      <x:c r="L332" s="18" t="str">
        <x:f>IF($A332="","",IF($C332=1,"Yes",IF(OR($I332="",$A332&lt;$I332),"Yes","Late")))</x:f>
      </x:c>
      <x:c r="M332" s="66" t="str">
        <x:f>IF($A332="","",IF($L332&lt;&gt;"Yes",0,IF($E332="",0,IF($J332="",0,IF($H332="Group",IF($E332=$J332,Setup!$H$2,Setup!$H$3),IF($E332=$K332,Setup!$H$2,Setup!$H$3))))))</x:f>
      </x:c>
      <x:c r="N332" s="66" t="str">
        <x:f>IF($A332="","",IF($L332&lt;&gt;"Yes",0,IF(OR($F332="",$G332=""),0,IF(AND($F332=VLOOKUP($C332,Matches!$A$2:$Q$200,9,FALSE),$G332=VLOOKUP($C332,Matches!$A$2:$Q$200,10,FALSE)),Setup!$H$5,0))))</x:f>
      </x:c>
      <x:c r="O332" s="66" t="str">
        <x:f>IF($A332="","",$M332+$N332)</x:f>
      </x:c>
      <x:c r="P332" s="18" t="str">
        <x:f>IF($A332="","",IF($L332="Late","Late - 0 points",IF($J332="","Waiting for result",IF($O332&gt;0,"Scored",IF($O332&lt;0,"Wrong pick","No points")))))</x:f>
      </x:c>
    </x:row>
    <x:row r="333">
      <x:c r="A333" s="60" t="n">
        <x:f>'Form Responses 1'!A333</x:f>
        <x:v>0</x:v>
      </x:c>
      <x:c r="B333" s="18" t="n">
        <x:f>'Form Responses 1'!B333</x:f>
        <x:v>0</x:v>
      </x:c>
      <x:c r="C333" s="18" t="n">
        <x:f>'Form Responses 1'!C333</x:f>
        <x:v>0</x:v>
      </x:c>
      <x:c r="D333" s="18" t="n">
        <x:f>'Form Responses 1'!D333</x:f>
        <x:v>0</x:v>
      </x:c>
      <x:c r="E333" s="18" t="n">
        <x:f>'Form Responses 1'!E333</x:f>
        <x:v>0</x:v>
      </x:c>
      <x:c r="F333" s="18" t="n">
        <x:f>'Form Responses 1'!F333</x:f>
        <x:v>0</x:v>
      </x:c>
      <x:c r="G333" s="18" t="n">
        <x:f>'Form Responses 1'!G333</x:f>
        <x:v>0</x:v>
      </x:c>
      <x:c r="H333" s="18" t="str">
        <x:f>IF($C333="","",IFERROR(VLOOKUP($C333,Matches!$A$2:$Q$200,5,FALSE),"Unknown"))</x:f>
      </x:c>
      <x:c r="I333" s="60" t="str">
        <x:f>IF($C333="","",IFERROR(VLOOKUP($C333,Matches!$A$2:$Q$200,16,FALSE),""))</x:f>
      </x:c>
      <x:c r="J333" s="18" t="str">
        <x:f>IF($C333="","",IFERROR(VLOOKUP($C333,Matches!$A$2:$Q$200,11,FALSE),""))</x:f>
      </x:c>
      <x:c r="K333" s="18" t="str">
        <x:f>IF($C333="","",IFERROR(VLOOKUP($C333,Matches!$A$2:$Q$200,12,FALSE),""))</x:f>
      </x:c>
      <x:c r="L333" s="18" t="str">
        <x:f>IF($A333="","",IF($C333=1,"Yes",IF(OR($I333="",$A333&lt;$I333),"Yes","Late")))</x:f>
      </x:c>
      <x:c r="M333" s="66" t="str">
        <x:f>IF($A333="","",IF($L333&lt;&gt;"Yes",0,IF($E333="",0,IF($J333="",0,IF($H333="Group",IF($E333=$J333,Setup!$H$2,Setup!$H$3),IF($E333=$K333,Setup!$H$2,Setup!$H$3))))))</x:f>
      </x:c>
      <x:c r="N333" s="66" t="str">
        <x:f>IF($A333="","",IF($L333&lt;&gt;"Yes",0,IF(OR($F333="",$G333=""),0,IF(AND($F333=VLOOKUP($C333,Matches!$A$2:$Q$200,9,FALSE),$G333=VLOOKUP($C333,Matches!$A$2:$Q$200,10,FALSE)),Setup!$H$5,0))))</x:f>
      </x:c>
      <x:c r="O333" s="66" t="str">
        <x:f>IF($A333="","",$M333+$N333)</x:f>
      </x:c>
      <x:c r="P333" s="18" t="str">
        <x:f>IF($A333="","",IF($L333="Late","Late - 0 points",IF($J333="","Waiting for result",IF($O333&gt;0,"Scored",IF($O333&lt;0,"Wrong pick","No points")))))</x:f>
      </x:c>
    </x:row>
    <x:row r="334">
      <x:c r="A334" s="60" t="n">
        <x:f>'Form Responses 1'!A334</x:f>
        <x:v>0</x:v>
      </x:c>
      <x:c r="B334" s="18" t="n">
        <x:f>'Form Responses 1'!B334</x:f>
        <x:v>0</x:v>
      </x:c>
      <x:c r="C334" s="18" t="n">
        <x:f>'Form Responses 1'!C334</x:f>
        <x:v>0</x:v>
      </x:c>
      <x:c r="D334" s="18" t="n">
        <x:f>'Form Responses 1'!D334</x:f>
        <x:v>0</x:v>
      </x:c>
      <x:c r="E334" s="18" t="n">
        <x:f>'Form Responses 1'!E334</x:f>
        <x:v>0</x:v>
      </x:c>
      <x:c r="F334" s="18" t="n">
        <x:f>'Form Responses 1'!F334</x:f>
        <x:v>0</x:v>
      </x:c>
      <x:c r="G334" s="18" t="n">
        <x:f>'Form Responses 1'!G334</x:f>
        <x:v>0</x:v>
      </x:c>
      <x:c r="H334" s="18" t="str">
        <x:f>IF($C334="","",IFERROR(VLOOKUP($C334,Matches!$A$2:$Q$200,5,FALSE),"Unknown"))</x:f>
      </x:c>
      <x:c r="I334" s="60" t="str">
        <x:f>IF($C334="","",IFERROR(VLOOKUP($C334,Matches!$A$2:$Q$200,16,FALSE),""))</x:f>
      </x:c>
      <x:c r="J334" s="18" t="str">
        <x:f>IF($C334="","",IFERROR(VLOOKUP($C334,Matches!$A$2:$Q$200,11,FALSE),""))</x:f>
      </x:c>
      <x:c r="K334" s="18" t="str">
        <x:f>IF($C334="","",IFERROR(VLOOKUP($C334,Matches!$A$2:$Q$200,12,FALSE),""))</x:f>
      </x:c>
      <x:c r="L334" s="18" t="str">
        <x:f>IF($A334="","",IF($C334=1,"Yes",IF(OR($I334="",$A334&lt;$I334),"Yes","Late")))</x:f>
      </x:c>
      <x:c r="M334" s="66" t="str">
        <x:f>IF($A334="","",IF($L334&lt;&gt;"Yes",0,IF($E334="",0,IF($J334="",0,IF($H334="Group",IF($E334=$J334,Setup!$H$2,Setup!$H$3),IF($E334=$K334,Setup!$H$2,Setup!$H$3))))))</x:f>
      </x:c>
      <x:c r="N334" s="66" t="str">
        <x:f>IF($A334="","",IF($L334&lt;&gt;"Yes",0,IF(OR($F334="",$G334=""),0,IF(AND($F334=VLOOKUP($C334,Matches!$A$2:$Q$200,9,FALSE),$G334=VLOOKUP($C334,Matches!$A$2:$Q$200,10,FALSE)),Setup!$H$5,0))))</x:f>
      </x:c>
      <x:c r="O334" s="66" t="str">
        <x:f>IF($A334="","",$M334+$N334)</x:f>
      </x:c>
      <x:c r="P334" s="18" t="str">
        <x:f>IF($A334="","",IF($L334="Late","Late - 0 points",IF($J334="","Waiting for result",IF($O334&gt;0,"Scored",IF($O334&lt;0,"Wrong pick","No points")))))</x:f>
      </x:c>
    </x:row>
    <x:row r="335">
      <x:c r="A335" s="60" t="n">
        <x:f>'Form Responses 1'!A335</x:f>
        <x:v>0</x:v>
      </x:c>
      <x:c r="B335" s="18" t="n">
        <x:f>'Form Responses 1'!B335</x:f>
        <x:v>0</x:v>
      </x:c>
      <x:c r="C335" s="18" t="n">
        <x:f>'Form Responses 1'!C335</x:f>
        <x:v>0</x:v>
      </x:c>
      <x:c r="D335" s="18" t="n">
        <x:f>'Form Responses 1'!D335</x:f>
        <x:v>0</x:v>
      </x:c>
      <x:c r="E335" s="18" t="n">
        <x:f>'Form Responses 1'!E335</x:f>
        <x:v>0</x:v>
      </x:c>
      <x:c r="F335" s="18" t="n">
        <x:f>'Form Responses 1'!F335</x:f>
        <x:v>0</x:v>
      </x:c>
      <x:c r="G335" s="18" t="n">
        <x:f>'Form Responses 1'!G335</x:f>
        <x:v>0</x:v>
      </x:c>
      <x:c r="H335" s="18" t="str">
        <x:f>IF($C335="","",IFERROR(VLOOKUP($C335,Matches!$A$2:$Q$200,5,FALSE),"Unknown"))</x:f>
      </x:c>
      <x:c r="I335" s="60" t="str">
        <x:f>IF($C335="","",IFERROR(VLOOKUP($C335,Matches!$A$2:$Q$200,16,FALSE),""))</x:f>
      </x:c>
      <x:c r="J335" s="18" t="str">
        <x:f>IF($C335="","",IFERROR(VLOOKUP($C335,Matches!$A$2:$Q$200,11,FALSE),""))</x:f>
      </x:c>
      <x:c r="K335" s="18" t="str">
        <x:f>IF($C335="","",IFERROR(VLOOKUP($C335,Matches!$A$2:$Q$200,12,FALSE),""))</x:f>
      </x:c>
      <x:c r="L335" s="18" t="str">
        <x:f>IF($A335="","",IF($C335=1,"Yes",IF(OR($I335="",$A335&lt;$I335),"Yes","Late")))</x:f>
      </x:c>
      <x:c r="M335" s="66" t="str">
        <x:f>IF($A335="","",IF($L335&lt;&gt;"Yes",0,IF($E335="",0,IF($J335="",0,IF($H335="Group",IF($E335=$J335,Setup!$H$2,Setup!$H$3),IF($E335=$K335,Setup!$H$2,Setup!$H$3))))))</x:f>
      </x:c>
      <x:c r="N335" s="66" t="str">
        <x:f>IF($A335="","",IF($L335&lt;&gt;"Yes",0,IF(OR($F335="",$G335=""),0,IF(AND($F335=VLOOKUP($C335,Matches!$A$2:$Q$200,9,FALSE),$G335=VLOOKUP($C335,Matches!$A$2:$Q$200,10,FALSE)),Setup!$H$5,0))))</x:f>
      </x:c>
      <x:c r="O335" s="66" t="str">
        <x:f>IF($A335="","",$M335+$N335)</x:f>
      </x:c>
      <x:c r="P335" s="18" t="str">
        <x:f>IF($A335="","",IF($L335="Late","Late - 0 points",IF($J335="","Waiting for result",IF($O335&gt;0,"Scored",IF($O335&lt;0,"Wrong pick","No points")))))</x:f>
      </x:c>
    </x:row>
    <x:row r="336">
      <x:c r="A336" s="60" t="n">
        <x:f>'Form Responses 1'!A336</x:f>
        <x:v>0</x:v>
      </x:c>
      <x:c r="B336" s="18" t="n">
        <x:f>'Form Responses 1'!B336</x:f>
        <x:v>0</x:v>
      </x:c>
      <x:c r="C336" s="18" t="n">
        <x:f>'Form Responses 1'!C336</x:f>
        <x:v>0</x:v>
      </x:c>
      <x:c r="D336" s="18" t="n">
        <x:f>'Form Responses 1'!D336</x:f>
        <x:v>0</x:v>
      </x:c>
      <x:c r="E336" s="18" t="n">
        <x:f>'Form Responses 1'!E336</x:f>
        <x:v>0</x:v>
      </x:c>
      <x:c r="F336" s="18" t="n">
        <x:f>'Form Responses 1'!F336</x:f>
        <x:v>0</x:v>
      </x:c>
      <x:c r="G336" s="18" t="n">
        <x:f>'Form Responses 1'!G336</x:f>
        <x:v>0</x:v>
      </x:c>
      <x:c r="H336" s="18" t="str">
        <x:f>IF($C336="","",IFERROR(VLOOKUP($C336,Matches!$A$2:$Q$200,5,FALSE),"Unknown"))</x:f>
      </x:c>
      <x:c r="I336" s="60" t="str">
        <x:f>IF($C336="","",IFERROR(VLOOKUP($C336,Matches!$A$2:$Q$200,16,FALSE),""))</x:f>
      </x:c>
      <x:c r="J336" s="18" t="str">
        <x:f>IF($C336="","",IFERROR(VLOOKUP($C336,Matches!$A$2:$Q$200,11,FALSE),""))</x:f>
      </x:c>
      <x:c r="K336" s="18" t="str">
        <x:f>IF($C336="","",IFERROR(VLOOKUP($C336,Matches!$A$2:$Q$200,12,FALSE),""))</x:f>
      </x:c>
      <x:c r="L336" s="18" t="str">
        <x:f>IF($A336="","",IF($C336=1,"Yes",IF(OR($I336="",$A336&lt;$I336),"Yes","Late")))</x:f>
      </x:c>
      <x:c r="M336" s="66" t="str">
        <x:f>IF($A336="","",IF($L336&lt;&gt;"Yes",0,IF($E336="",0,IF($J336="",0,IF($H336="Group",IF($E336=$J336,Setup!$H$2,Setup!$H$3),IF($E336=$K336,Setup!$H$2,Setup!$H$3))))))</x:f>
      </x:c>
      <x:c r="N336" s="66" t="str">
        <x:f>IF($A336="","",IF($L336&lt;&gt;"Yes",0,IF(OR($F336="",$G336=""),0,IF(AND($F336=VLOOKUP($C336,Matches!$A$2:$Q$200,9,FALSE),$G336=VLOOKUP($C336,Matches!$A$2:$Q$200,10,FALSE)),Setup!$H$5,0))))</x:f>
      </x:c>
      <x:c r="O336" s="66" t="str">
        <x:f>IF($A336="","",$M336+$N336)</x:f>
      </x:c>
      <x:c r="P336" s="18" t="str">
        <x:f>IF($A336="","",IF($L336="Late","Late - 0 points",IF($J336="","Waiting for result",IF($O336&gt;0,"Scored",IF($O336&lt;0,"Wrong pick","No points")))))</x:f>
      </x:c>
    </x:row>
    <x:row r="337">
      <x:c r="A337" s="60" t="n">
        <x:f>'Form Responses 1'!A337</x:f>
        <x:v>0</x:v>
      </x:c>
      <x:c r="B337" s="18" t="n">
        <x:f>'Form Responses 1'!B337</x:f>
        <x:v>0</x:v>
      </x:c>
      <x:c r="C337" s="18" t="n">
        <x:f>'Form Responses 1'!C337</x:f>
        <x:v>0</x:v>
      </x:c>
      <x:c r="D337" s="18" t="n">
        <x:f>'Form Responses 1'!D337</x:f>
        <x:v>0</x:v>
      </x:c>
      <x:c r="E337" s="18" t="n">
        <x:f>'Form Responses 1'!E337</x:f>
        <x:v>0</x:v>
      </x:c>
      <x:c r="F337" s="18" t="n">
        <x:f>'Form Responses 1'!F337</x:f>
        <x:v>0</x:v>
      </x:c>
      <x:c r="G337" s="18" t="n">
        <x:f>'Form Responses 1'!G337</x:f>
        <x:v>0</x:v>
      </x:c>
      <x:c r="H337" s="18" t="str">
        <x:f>IF($C337="","",IFERROR(VLOOKUP($C337,Matches!$A$2:$Q$200,5,FALSE),"Unknown"))</x:f>
      </x:c>
      <x:c r="I337" s="60" t="str">
        <x:f>IF($C337="","",IFERROR(VLOOKUP($C337,Matches!$A$2:$Q$200,16,FALSE),""))</x:f>
      </x:c>
      <x:c r="J337" s="18" t="str">
        <x:f>IF($C337="","",IFERROR(VLOOKUP($C337,Matches!$A$2:$Q$200,11,FALSE),""))</x:f>
      </x:c>
      <x:c r="K337" s="18" t="str">
        <x:f>IF($C337="","",IFERROR(VLOOKUP($C337,Matches!$A$2:$Q$200,12,FALSE),""))</x:f>
      </x:c>
      <x:c r="L337" s="18" t="str">
        <x:f>IF($A337="","",IF($C337=1,"Yes",IF(OR($I337="",$A337&lt;$I337),"Yes","Late")))</x:f>
      </x:c>
      <x:c r="M337" s="66" t="str">
        <x:f>IF($A337="","",IF($L337&lt;&gt;"Yes",0,IF($E337="",0,IF($J337="",0,IF($H337="Group",IF($E337=$J337,Setup!$H$2,Setup!$H$3),IF($E337=$K337,Setup!$H$2,Setup!$H$3))))))</x:f>
      </x:c>
      <x:c r="N337" s="66" t="str">
        <x:f>IF($A337="","",IF($L337&lt;&gt;"Yes",0,IF(OR($F337="",$G337=""),0,IF(AND($F337=VLOOKUP($C337,Matches!$A$2:$Q$200,9,FALSE),$G337=VLOOKUP($C337,Matches!$A$2:$Q$200,10,FALSE)),Setup!$H$5,0))))</x:f>
      </x:c>
      <x:c r="O337" s="66" t="str">
        <x:f>IF($A337="","",$M337+$N337)</x:f>
      </x:c>
      <x:c r="P337" s="18" t="str">
        <x:f>IF($A337="","",IF($L337="Late","Late - 0 points",IF($J337="","Waiting for result",IF($O337&gt;0,"Scored",IF($O337&lt;0,"Wrong pick","No points")))))</x:f>
      </x:c>
    </x:row>
    <x:row r="338">
      <x:c r="A338" s="60" t="n">
        <x:f>'Form Responses 1'!A338</x:f>
        <x:v>0</x:v>
      </x:c>
      <x:c r="B338" s="18" t="n">
        <x:f>'Form Responses 1'!B338</x:f>
        <x:v>0</x:v>
      </x:c>
      <x:c r="C338" s="18" t="n">
        <x:f>'Form Responses 1'!C338</x:f>
        <x:v>0</x:v>
      </x:c>
      <x:c r="D338" s="18" t="n">
        <x:f>'Form Responses 1'!D338</x:f>
        <x:v>0</x:v>
      </x:c>
      <x:c r="E338" s="18" t="n">
        <x:f>'Form Responses 1'!E338</x:f>
        <x:v>0</x:v>
      </x:c>
      <x:c r="F338" s="18" t="n">
        <x:f>'Form Responses 1'!F338</x:f>
        <x:v>0</x:v>
      </x:c>
      <x:c r="G338" s="18" t="n">
        <x:f>'Form Responses 1'!G338</x:f>
        <x:v>0</x:v>
      </x:c>
      <x:c r="H338" s="18" t="str">
        <x:f>IF($C338="","",IFERROR(VLOOKUP($C338,Matches!$A$2:$Q$200,5,FALSE),"Unknown"))</x:f>
      </x:c>
      <x:c r="I338" s="60" t="str">
        <x:f>IF($C338="","",IFERROR(VLOOKUP($C338,Matches!$A$2:$Q$200,16,FALSE),""))</x:f>
      </x:c>
      <x:c r="J338" s="18" t="str">
        <x:f>IF($C338="","",IFERROR(VLOOKUP($C338,Matches!$A$2:$Q$200,11,FALSE),""))</x:f>
      </x:c>
      <x:c r="K338" s="18" t="str">
        <x:f>IF($C338="","",IFERROR(VLOOKUP($C338,Matches!$A$2:$Q$200,12,FALSE),""))</x:f>
      </x:c>
      <x:c r="L338" s="18" t="str">
        <x:f>IF($A338="","",IF($C338=1,"Yes",IF(OR($I338="",$A338&lt;$I338),"Yes","Late")))</x:f>
      </x:c>
      <x:c r="M338" s="66" t="str">
        <x:f>IF($A338="","",IF($L338&lt;&gt;"Yes",0,IF($E338="",0,IF($J338="",0,IF($H338="Group",IF($E338=$J338,Setup!$H$2,Setup!$H$3),IF($E338=$K338,Setup!$H$2,Setup!$H$3))))))</x:f>
      </x:c>
      <x:c r="N338" s="66" t="str">
        <x:f>IF($A338="","",IF($L338&lt;&gt;"Yes",0,IF(OR($F338="",$G338=""),0,IF(AND($F338=VLOOKUP($C338,Matches!$A$2:$Q$200,9,FALSE),$G338=VLOOKUP($C338,Matches!$A$2:$Q$200,10,FALSE)),Setup!$H$5,0))))</x:f>
      </x:c>
      <x:c r="O338" s="66" t="str">
        <x:f>IF($A338="","",$M338+$N338)</x:f>
      </x:c>
      <x:c r="P338" s="18" t="str">
        <x:f>IF($A338="","",IF($L338="Late","Late - 0 points",IF($J338="","Waiting for result",IF($O338&gt;0,"Scored",IF($O338&lt;0,"Wrong pick","No points")))))</x:f>
      </x:c>
    </x:row>
    <x:row r="339">
      <x:c r="A339" s="60" t="n">
        <x:f>'Form Responses 1'!A339</x:f>
        <x:v>0</x:v>
      </x:c>
      <x:c r="B339" s="18" t="n">
        <x:f>'Form Responses 1'!B339</x:f>
        <x:v>0</x:v>
      </x:c>
      <x:c r="C339" s="18" t="n">
        <x:f>'Form Responses 1'!C339</x:f>
        <x:v>0</x:v>
      </x:c>
      <x:c r="D339" s="18" t="n">
        <x:f>'Form Responses 1'!D339</x:f>
        <x:v>0</x:v>
      </x:c>
      <x:c r="E339" s="18" t="n">
        <x:f>'Form Responses 1'!E339</x:f>
        <x:v>0</x:v>
      </x:c>
      <x:c r="F339" s="18" t="n">
        <x:f>'Form Responses 1'!F339</x:f>
        <x:v>0</x:v>
      </x:c>
      <x:c r="G339" s="18" t="n">
        <x:f>'Form Responses 1'!G339</x:f>
        <x:v>0</x:v>
      </x:c>
      <x:c r="H339" s="18" t="str">
        <x:f>IF($C339="","",IFERROR(VLOOKUP($C339,Matches!$A$2:$Q$200,5,FALSE),"Unknown"))</x:f>
      </x:c>
      <x:c r="I339" s="60" t="str">
        <x:f>IF($C339="","",IFERROR(VLOOKUP($C339,Matches!$A$2:$Q$200,16,FALSE),""))</x:f>
      </x:c>
      <x:c r="J339" s="18" t="str">
        <x:f>IF($C339="","",IFERROR(VLOOKUP($C339,Matches!$A$2:$Q$200,11,FALSE),""))</x:f>
      </x:c>
      <x:c r="K339" s="18" t="str">
        <x:f>IF($C339="","",IFERROR(VLOOKUP($C339,Matches!$A$2:$Q$200,12,FALSE),""))</x:f>
      </x:c>
      <x:c r="L339" s="18" t="str">
        <x:f>IF($A339="","",IF($C339=1,"Yes",IF(OR($I339="",$A339&lt;$I339),"Yes","Late")))</x:f>
      </x:c>
      <x:c r="M339" s="66" t="str">
        <x:f>IF($A339="","",IF($L339&lt;&gt;"Yes",0,IF($E339="",0,IF($J339="",0,IF($H339="Group",IF($E339=$J339,Setup!$H$2,Setup!$H$3),IF($E339=$K339,Setup!$H$2,Setup!$H$3))))))</x:f>
      </x:c>
      <x:c r="N339" s="66" t="str">
        <x:f>IF($A339="","",IF($L339&lt;&gt;"Yes",0,IF(OR($F339="",$G339=""),0,IF(AND($F339=VLOOKUP($C339,Matches!$A$2:$Q$200,9,FALSE),$G339=VLOOKUP($C339,Matches!$A$2:$Q$200,10,FALSE)),Setup!$H$5,0))))</x:f>
      </x:c>
      <x:c r="O339" s="66" t="str">
        <x:f>IF($A339="","",$M339+$N339)</x:f>
      </x:c>
      <x:c r="P339" s="18" t="str">
        <x:f>IF($A339="","",IF($L339="Late","Late - 0 points",IF($J339="","Waiting for result",IF($O339&gt;0,"Scored",IF($O339&lt;0,"Wrong pick","No points")))))</x:f>
      </x:c>
    </x:row>
    <x:row r="340">
      <x:c r="A340" s="60" t="n">
        <x:f>'Form Responses 1'!A340</x:f>
        <x:v>0</x:v>
      </x:c>
      <x:c r="B340" s="18" t="n">
        <x:f>'Form Responses 1'!B340</x:f>
        <x:v>0</x:v>
      </x:c>
      <x:c r="C340" s="18" t="n">
        <x:f>'Form Responses 1'!C340</x:f>
        <x:v>0</x:v>
      </x:c>
      <x:c r="D340" s="18" t="n">
        <x:f>'Form Responses 1'!D340</x:f>
        <x:v>0</x:v>
      </x:c>
      <x:c r="E340" s="18" t="n">
        <x:f>'Form Responses 1'!E340</x:f>
        <x:v>0</x:v>
      </x:c>
      <x:c r="F340" s="18" t="n">
        <x:f>'Form Responses 1'!F340</x:f>
        <x:v>0</x:v>
      </x:c>
      <x:c r="G340" s="18" t="n">
        <x:f>'Form Responses 1'!G340</x:f>
        <x:v>0</x:v>
      </x:c>
      <x:c r="H340" s="18" t="str">
        <x:f>IF($C340="","",IFERROR(VLOOKUP($C340,Matches!$A$2:$Q$200,5,FALSE),"Unknown"))</x:f>
      </x:c>
      <x:c r="I340" s="60" t="str">
        <x:f>IF($C340="","",IFERROR(VLOOKUP($C340,Matches!$A$2:$Q$200,16,FALSE),""))</x:f>
      </x:c>
      <x:c r="J340" s="18" t="str">
        <x:f>IF($C340="","",IFERROR(VLOOKUP($C340,Matches!$A$2:$Q$200,11,FALSE),""))</x:f>
      </x:c>
      <x:c r="K340" s="18" t="str">
        <x:f>IF($C340="","",IFERROR(VLOOKUP($C340,Matches!$A$2:$Q$200,12,FALSE),""))</x:f>
      </x:c>
      <x:c r="L340" s="18" t="str">
        <x:f>IF($A340="","",IF($C340=1,"Yes",IF(OR($I340="",$A340&lt;$I340),"Yes","Late")))</x:f>
      </x:c>
      <x:c r="M340" s="66" t="str">
        <x:f>IF($A340="","",IF($L340&lt;&gt;"Yes",0,IF($E340="",0,IF($J340="",0,IF($H340="Group",IF($E340=$J340,Setup!$H$2,Setup!$H$3),IF($E340=$K340,Setup!$H$2,Setup!$H$3))))))</x:f>
      </x:c>
      <x:c r="N340" s="66" t="str">
        <x:f>IF($A340="","",IF($L340&lt;&gt;"Yes",0,IF(OR($F340="",$G340=""),0,IF(AND($F340=VLOOKUP($C340,Matches!$A$2:$Q$200,9,FALSE),$G340=VLOOKUP($C340,Matches!$A$2:$Q$200,10,FALSE)),Setup!$H$5,0))))</x:f>
      </x:c>
      <x:c r="O340" s="66" t="str">
        <x:f>IF($A340="","",$M340+$N340)</x:f>
      </x:c>
      <x:c r="P340" s="18" t="str">
        <x:f>IF($A340="","",IF($L340="Late","Late - 0 points",IF($J340="","Waiting for result",IF($O340&gt;0,"Scored",IF($O340&lt;0,"Wrong pick","No points")))))</x:f>
      </x:c>
    </x:row>
    <x:row r="341">
      <x:c r="A341" s="60" t="n">
        <x:f>'Form Responses 1'!A341</x:f>
        <x:v>0</x:v>
      </x:c>
      <x:c r="B341" s="18" t="n">
        <x:f>'Form Responses 1'!B341</x:f>
        <x:v>0</x:v>
      </x:c>
      <x:c r="C341" s="18" t="n">
        <x:f>'Form Responses 1'!C341</x:f>
        <x:v>0</x:v>
      </x:c>
      <x:c r="D341" s="18" t="n">
        <x:f>'Form Responses 1'!D341</x:f>
        <x:v>0</x:v>
      </x:c>
      <x:c r="E341" s="18" t="n">
        <x:f>'Form Responses 1'!E341</x:f>
        <x:v>0</x:v>
      </x:c>
      <x:c r="F341" s="18" t="n">
        <x:f>'Form Responses 1'!F341</x:f>
        <x:v>0</x:v>
      </x:c>
      <x:c r="G341" s="18" t="n">
        <x:f>'Form Responses 1'!G341</x:f>
        <x:v>0</x:v>
      </x:c>
      <x:c r="H341" s="18" t="str">
        <x:f>IF($C341="","",IFERROR(VLOOKUP($C341,Matches!$A$2:$Q$200,5,FALSE),"Unknown"))</x:f>
      </x:c>
      <x:c r="I341" s="60" t="str">
        <x:f>IF($C341="","",IFERROR(VLOOKUP($C341,Matches!$A$2:$Q$200,16,FALSE),""))</x:f>
      </x:c>
      <x:c r="J341" s="18" t="str">
        <x:f>IF($C341="","",IFERROR(VLOOKUP($C341,Matches!$A$2:$Q$200,11,FALSE),""))</x:f>
      </x:c>
      <x:c r="K341" s="18" t="str">
        <x:f>IF($C341="","",IFERROR(VLOOKUP($C341,Matches!$A$2:$Q$200,12,FALSE),""))</x:f>
      </x:c>
      <x:c r="L341" s="18" t="str">
        <x:f>IF($A341="","",IF($C341=1,"Yes",IF(OR($I341="",$A341&lt;$I341),"Yes","Late")))</x:f>
      </x:c>
      <x:c r="M341" s="66" t="str">
        <x:f>IF($A341="","",IF($L341&lt;&gt;"Yes",0,IF($E341="",0,IF($J341="",0,IF($H341="Group",IF($E341=$J341,Setup!$H$2,Setup!$H$3),IF($E341=$K341,Setup!$H$2,Setup!$H$3))))))</x:f>
      </x:c>
      <x:c r="N341" s="66" t="str">
        <x:f>IF($A341="","",IF($L341&lt;&gt;"Yes",0,IF(OR($F341="",$G341=""),0,IF(AND($F341=VLOOKUP($C341,Matches!$A$2:$Q$200,9,FALSE),$G341=VLOOKUP($C341,Matches!$A$2:$Q$200,10,FALSE)),Setup!$H$5,0))))</x:f>
      </x:c>
      <x:c r="O341" s="66" t="str">
        <x:f>IF($A341="","",$M341+$N341)</x:f>
      </x:c>
      <x:c r="P341" s="18" t="str">
        <x:f>IF($A341="","",IF($L341="Late","Late - 0 points",IF($J341="","Waiting for result",IF($O341&gt;0,"Scored",IF($O341&lt;0,"Wrong pick","No points")))))</x:f>
      </x:c>
    </x:row>
    <x:row r="342">
      <x:c r="A342" s="60" t="n">
        <x:f>'Form Responses 1'!A342</x:f>
        <x:v>0</x:v>
      </x:c>
      <x:c r="B342" s="18" t="n">
        <x:f>'Form Responses 1'!B342</x:f>
        <x:v>0</x:v>
      </x:c>
      <x:c r="C342" s="18" t="n">
        <x:f>'Form Responses 1'!C342</x:f>
        <x:v>0</x:v>
      </x:c>
      <x:c r="D342" s="18" t="n">
        <x:f>'Form Responses 1'!D342</x:f>
        <x:v>0</x:v>
      </x:c>
      <x:c r="E342" s="18" t="n">
        <x:f>'Form Responses 1'!E342</x:f>
        <x:v>0</x:v>
      </x:c>
      <x:c r="F342" s="18" t="n">
        <x:f>'Form Responses 1'!F342</x:f>
        <x:v>0</x:v>
      </x:c>
      <x:c r="G342" s="18" t="n">
        <x:f>'Form Responses 1'!G342</x:f>
        <x:v>0</x:v>
      </x:c>
      <x:c r="H342" s="18" t="str">
        <x:f>IF($C342="","",IFERROR(VLOOKUP($C342,Matches!$A$2:$Q$200,5,FALSE),"Unknown"))</x:f>
      </x:c>
      <x:c r="I342" s="60" t="str">
        <x:f>IF($C342="","",IFERROR(VLOOKUP($C342,Matches!$A$2:$Q$200,16,FALSE),""))</x:f>
      </x:c>
      <x:c r="J342" s="18" t="str">
        <x:f>IF($C342="","",IFERROR(VLOOKUP($C342,Matches!$A$2:$Q$200,11,FALSE),""))</x:f>
      </x:c>
      <x:c r="K342" s="18" t="str">
        <x:f>IF($C342="","",IFERROR(VLOOKUP($C342,Matches!$A$2:$Q$200,12,FALSE),""))</x:f>
      </x:c>
      <x:c r="L342" s="18" t="str">
        <x:f>IF($A342="","",IF($C342=1,"Yes",IF(OR($I342="",$A342&lt;$I342),"Yes","Late")))</x:f>
      </x:c>
      <x:c r="M342" s="66" t="str">
        <x:f>IF($A342="","",IF($L342&lt;&gt;"Yes",0,IF($E342="",0,IF($J342="",0,IF($H342="Group",IF($E342=$J342,Setup!$H$2,Setup!$H$3),IF($E342=$K342,Setup!$H$2,Setup!$H$3))))))</x:f>
      </x:c>
      <x:c r="N342" s="66" t="str">
        <x:f>IF($A342="","",IF($L342&lt;&gt;"Yes",0,IF(OR($F342="",$G342=""),0,IF(AND($F342=VLOOKUP($C342,Matches!$A$2:$Q$200,9,FALSE),$G342=VLOOKUP($C342,Matches!$A$2:$Q$200,10,FALSE)),Setup!$H$5,0))))</x:f>
      </x:c>
      <x:c r="O342" s="66" t="str">
        <x:f>IF($A342="","",$M342+$N342)</x:f>
      </x:c>
      <x:c r="P342" s="18" t="str">
        <x:f>IF($A342="","",IF($L342="Late","Late - 0 points",IF($J342="","Waiting for result",IF($O342&gt;0,"Scored",IF($O342&lt;0,"Wrong pick","No points")))))</x:f>
      </x:c>
    </x:row>
    <x:row r="343">
      <x:c r="A343" s="60" t="n">
        <x:f>'Form Responses 1'!A343</x:f>
        <x:v>0</x:v>
      </x:c>
      <x:c r="B343" s="18" t="n">
        <x:f>'Form Responses 1'!B343</x:f>
        <x:v>0</x:v>
      </x:c>
      <x:c r="C343" s="18" t="n">
        <x:f>'Form Responses 1'!C343</x:f>
        <x:v>0</x:v>
      </x:c>
      <x:c r="D343" s="18" t="n">
        <x:f>'Form Responses 1'!D343</x:f>
        <x:v>0</x:v>
      </x:c>
      <x:c r="E343" s="18" t="n">
        <x:f>'Form Responses 1'!E343</x:f>
        <x:v>0</x:v>
      </x:c>
      <x:c r="F343" s="18" t="n">
        <x:f>'Form Responses 1'!F343</x:f>
        <x:v>0</x:v>
      </x:c>
      <x:c r="G343" s="18" t="n">
        <x:f>'Form Responses 1'!G343</x:f>
        <x:v>0</x:v>
      </x:c>
      <x:c r="H343" s="18" t="str">
        <x:f>IF($C343="","",IFERROR(VLOOKUP($C343,Matches!$A$2:$Q$200,5,FALSE),"Unknown"))</x:f>
      </x:c>
      <x:c r="I343" s="60" t="str">
        <x:f>IF($C343="","",IFERROR(VLOOKUP($C343,Matches!$A$2:$Q$200,16,FALSE),""))</x:f>
      </x:c>
      <x:c r="J343" s="18" t="str">
        <x:f>IF($C343="","",IFERROR(VLOOKUP($C343,Matches!$A$2:$Q$200,11,FALSE),""))</x:f>
      </x:c>
      <x:c r="K343" s="18" t="str">
        <x:f>IF($C343="","",IFERROR(VLOOKUP($C343,Matches!$A$2:$Q$200,12,FALSE),""))</x:f>
      </x:c>
      <x:c r="L343" s="18" t="str">
        <x:f>IF($A343="","",IF($C343=1,"Yes",IF(OR($I343="",$A343&lt;$I343),"Yes","Late")))</x:f>
      </x:c>
      <x:c r="M343" s="66" t="str">
        <x:f>IF($A343="","",IF($L343&lt;&gt;"Yes",0,IF($E343="",0,IF($J343="",0,IF($H343="Group",IF($E343=$J343,Setup!$H$2,Setup!$H$3),IF($E343=$K343,Setup!$H$2,Setup!$H$3))))))</x:f>
      </x:c>
      <x:c r="N343" s="66" t="str">
        <x:f>IF($A343="","",IF($L343&lt;&gt;"Yes",0,IF(OR($F343="",$G343=""),0,IF(AND($F343=VLOOKUP($C343,Matches!$A$2:$Q$200,9,FALSE),$G343=VLOOKUP($C343,Matches!$A$2:$Q$200,10,FALSE)),Setup!$H$5,0))))</x:f>
      </x:c>
      <x:c r="O343" s="66" t="str">
        <x:f>IF($A343="","",$M343+$N343)</x:f>
      </x:c>
      <x:c r="P343" s="18" t="str">
        <x:f>IF($A343="","",IF($L343="Late","Late - 0 points",IF($J343="","Waiting for result",IF($O343&gt;0,"Scored",IF($O343&lt;0,"Wrong pick","No points")))))</x:f>
      </x:c>
    </x:row>
    <x:row r="344">
      <x:c r="A344" s="60" t="n">
        <x:f>'Form Responses 1'!A344</x:f>
        <x:v>0</x:v>
      </x:c>
      <x:c r="B344" s="18" t="n">
        <x:f>'Form Responses 1'!B344</x:f>
        <x:v>0</x:v>
      </x:c>
      <x:c r="C344" s="18" t="n">
        <x:f>'Form Responses 1'!C344</x:f>
        <x:v>0</x:v>
      </x:c>
      <x:c r="D344" s="18" t="n">
        <x:f>'Form Responses 1'!D344</x:f>
        <x:v>0</x:v>
      </x:c>
      <x:c r="E344" s="18" t="n">
        <x:f>'Form Responses 1'!E344</x:f>
        <x:v>0</x:v>
      </x:c>
      <x:c r="F344" s="18" t="n">
        <x:f>'Form Responses 1'!F344</x:f>
        <x:v>0</x:v>
      </x:c>
      <x:c r="G344" s="18" t="n">
        <x:f>'Form Responses 1'!G344</x:f>
        <x:v>0</x:v>
      </x:c>
      <x:c r="H344" s="18" t="str">
        <x:f>IF($C344="","",IFERROR(VLOOKUP($C344,Matches!$A$2:$Q$200,5,FALSE),"Unknown"))</x:f>
      </x:c>
      <x:c r="I344" s="60" t="str">
        <x:f>IF($C344="","",IFERROR(VLOOKUP($C344,Matches!$A$2:$Q$200,16,FALSE),""))</x:f>
      </x:c>
      <x:c r="J344" s="18" t="str">
        <x:f>IF($C344="","",IFERROR(VLOOKUP($C344,Matches!$A$2:$Q$200,11,FALSE),""))</x:f>
      </x:c>
      <x:c r="K344" s="18" t="str">
        <x:f>IF($C344="","",IFERROR(VLOOKUP($C344,Matches!$A$2:$Q$200,12,FALSE),""))</x:f>
      </x:c>
      <x:c r="L344" s="18" t="str">
        <x:f>IF($A344="","",IF($C344=1,"Yes",IF(OR($I344="",$A344&lt;$I344),"Yes","Late")))</x:f>
      </x:c>
      <x:c r="M344" s="66" t="str">
        <x:f>IF($A344="","",IF($L344&lt;&gt;"Yes",0,IF($E344="",0,IF($J344="",0,IF($H344="Group",IF($E344=$J344,Setup!$H$2,Setup!$H$3),IF($E344=$K344,Setup!$H$2,Setup!$H$3))))))</x:f>
      </x:c>
      <x:c r="N344" s="66" t="str">
        <x:f>IF($A344="","",IF($L344&lt;&gt;"Yes",0,IF(OR($F344="",$G344=""),0,IF(AND($F344=VLOOKUP($C344,Matches!$A$2:$Q$200,9,FALSE),$G344=VLOOKUP($C344,Matches!$A$2:$Q$200,10,FALSE)),Setup!$H$5,0))))</x:f>
      </x:c>
      <x:c r="O344" s="66" t="str">
        <x:f>IF($A344="","",$M344+$N344)</x:f>
      </x:c>
      <x:c r="P344" s="18" t="str">
        <x:f>IF($A344="","",IF($L344="Late","Late - 0 points",IF($J344="","Waiting for result",IF($O344&gt;0,"Scored",IF($O344&lt;0,"Wrong pick","No points")))))</x:f>
      </x:c>
    </x:row>
    <x:row r="345">
      <x:c r="A345" s="60" t="n">
        <x:f>'Form Responses 1'!A345</x:f>
        <x:v>0</x:v>
      </x:c>
      <x:c r="B345" s="18" t="n">
        <x:f>'Form Responses 1'!B345</x:f>
        <x:v>0</x:v>
      </x:c>
      <x:c r="C345" s="18" t="n">
        <x:f>'Form Responses 1'!C345</x:f>
        <x:v>0</x:v>
      </x:c>
      <x:c r="D345" s="18" t="n">
        <x:f>'Form Responses 1'!D345</x:f>
        <x:v>0</x:v>
      </x:c>
      <x:c r="E345" s="18" t="n">
        <x:f>'Form Responses 1'!E345</x:f>
        <x:v>0</x:v>
      </x:c>
      <x:c r="F345" s="18" t="n">
        <x:f>'Form Responses 1'!F345</x:f>
        <x:v>0</x:v>
      </x:c>
      <x:c r="G345" s="18" t="n">
        <x:f>'Form Responses 1'!G345</x:f>
        <x:v>0</x:v>
      </x:c>
      <x:c r="H345" s="18" t="str">
        <x:f>IF($C345="","",IFERROR(VLOOKUP($C345,Matches!$A$2:$Q$200,5,FALSE),"Unknown"))</x:f>
      </x:c>
      <x:c r="I345" s="60" t="str">
        <x:f>IF($C345="","",IFERROR(VLOOKUP($C345,Matches!$A$2:$Q$200,16,FALSE),""))</x:f>
      </x:c>
      <x:c r="J345" s="18" t="str">
        <x:f>IF($C345="","",IFERROR(VLOOKUP($C345,Matches!$A$2:$Q$200,11,FALSE),""))</x:f>
      </x:c>
      <x:c r="K345" s="18" t="str">
        <x:f>IF($C345="","",IFERROR(VLOOKUP($C345,Matches!$A$2:$Q$200,12,FALSE),""))</x:f>
      </x:c>
      <x:c r="L345" s="18" t="str">
        <x:f>IF($A345="","",IF($C345=1,"Yes",IF(OR($I345="",$A345&lt;$I345),"Yes","Late")))</x:f>
      </x:c>
      <x:c r="M345" s="66" t="str">
        <x:f>IF($A345="","",IF($L345&lt;&gt;"Yes",0,IF($E345="",0,IF($J345="",0,IF($H345="Group",IF($E345=$J345,Setup!$H$2,Setup!$H$3),IF($E345=$K345,Setup!$H$2,Setup!$H$3))))))</x:f>
      </x:c>
      <x:c r="N345" s="66" t="str">
        <x:f>IF($A345="","",IF($L345&lt;&gt;"Yes",0,IF(OR($F345="",$G345=""),0,IF(AND($F345=VLOOKUP($C345,Matches!$A$2:$Q$200,9,FALSE),$G345=VLOOKUP($C345,Matches!$A$2:$Q$200,10,FALSE)),Setup!$H$5,0))))</x:f>
      </x:c>
      <x:c r="O345" s="66" t="str">
        <x:f>IF($A345="","",$M345+$N345)</x:f>
      </x:c>
      <x:c r="P345" s="18" t="str">
        <x:f>IF($A345="","",IF($L345="Late","Late - 0 points",IF($J345="","Waiting for result",IF($O345&gt;0,"Scored",IF($O345&lt;0,"Wrong pick","No points")))))</x:f>
      </x:c>
    </x:row>
    <x:row r="346">
      <x:c r="A346" s="60" t="n">
        <x:f>'Form Responses 1'!A346</x:f>
        <x:v>0</x:v>
      </x:c>
      <x:c r="B346" s="18" t="n">
        <x:f>'Form Responses 1'!B346</x:f>
        <x:v>0</x:v>
      </x:c>
      <x:c r="C346" s="18" t="n">
        <x:f>'Form Responses 1'!C346</x:f>
        <x:v>0</x:v>
      </x:c>
      <x:c r="D346" s="18" t="n">
        <x:f>'Form Responses 1'!D346</x:f>
        <x:v>0</x:v>
      </x:c>
      <x:c r="E346" s="18" t="n">
        <x:f>'Form Responses 1'!E346</x:f>
        <x:v>0</x:v>
      </x:c>
      <x:c r="F346" s="18" t="n">
        <x:f>'Form Responses 1'!F346</x:f>
        <x:v>0</x:v>
      </x:c>
      <x:c r="G346" s="18" t="n">
        <x:f>'Form Responses 1'!G346</x:f>
        <x:v>0</x:v>
      </x:c>
      <x:c r="H346" s="18" t="str">
        <x:f>IF($C346="","",IFERROR(VLOOKUP($C346,Matches!$A$2:$Q$200,5,FALSE),"Unknown"))</x:f>
      </x:c>
      <x:c r="I346" s="60" t="str">
        <x:f>IF($C346="","",IFERROR(VLOOKUP($C346,Matches!$A$2:$Q$200,16,FALSE),""))</x:f>
      </x:c>
      <x:c r="J346" s="18" t="str">
        <x:f>IF($C346="","",IFERROR(VLOOKUP($C346,Matches!$A$2:$Q$200,11,FALSE),""))</x:f>
      </x:c>
      <x:c r="K346" s="18" t="str">
        <x:f>IF($C346="","",IFERROR(VLOOKUP($C346,Matches!$A$2:$Q$200,12,FALSE),""))</x:f>
      </x:c>
      <x:c r="L346" s="18" t="str">
        <x:f>IF($A346="","",IF($C346=1,"Yes",IF(OR($I346="",$A346&lt;$I346),"Yes","Late")))</x:f>
      </x:c>
      <x:c r="M346" s="66" t="str">
        <x:f>IF($A346="","",IF($L346&lt;&gt;"Yes",0,IF($E346="",0,IF($J346="",0,IF($H346="Group",IF($E346=$J346,Setup!$H$2,Setup!$H$3),IF($E346=$K346,Setup!$H$2,Setup!$H$3))))))</x:f>
      </x:c>
      <x:c r="N346" s="66" t="str">
        <x:f>IF($A346="","",IF($L346&lt;&gt;"Yes",0,IF(OR($F346="",$G346=""),0,IF(AND($F346=VLOOKUP($C346,Matches!$A$2:$Q$200,9,FALSE),$G346=VLOOKUP($C346,Matches!$A$2:$Q$200,10,FALSE)),Setup!$H$5,0))))</x:f>
      </x:c>
      <x:c r="O346" s="66" t="str">
        <x:f>IF($A346="","",$M346+$N346)</x:f>
      </x:c>
      <x:c r="P346" s="18" t="str">
        <x:f>IF($A346="","",IF($L346="Late","Late - 0 points",IF($J346="","Waiting for result",IF($O346&gt;0,"Scored",IF($O346&lt;0,"Wrong pick","No points")))))</x:f>
      </x:c>
    </x:row>
    <x:row r="347">
      <x:c r="A347" s="60" t="n">
        <x:f>'Form Responses 1'!A347</x:f>
        <x:v>0</x:v>
      </x:c>
      <x:c r="B347" s="18" t="n">
        <x:f>'Form Responses 1'!B347</x:f>
        <x:v>0</x:v>
      </x:c>
      <x:c r="C347" s="18" t="n">
        <x:f>'Form Responses 1'!C347</x:f>
        <x:v>0</x:v>
      </x:c>
      <x:c r="D347" s="18" t="n">
        <x:f>'Form Responses 1'!D347</x:f>
        <x:v>0</x:v>
      </x:c>
      <x:c r="E347" s="18" t="n">
        <x:f>'Form Responses 1'!E347</x:f>
        <x:v>0</x:v>
      </x:c>
      <x:c r="F347" s="18" t="n">
        <x:f>'Form Responses 1'!F347</x:f>
        <x:v>0</x:v>
      </x:c>
      <x:c r="G347" s="18" t="n">
        <x:f>'Form Responses 1'!G347</x:f>
        <x:v>0</x:v>
      </x:c>
      <x:c r="H347" s="18" t="str">
        <x:f>IF($C347="","",IFERROR(VLOOKUP($C347,Matches!$A$2:$Q$200,5,FALSE),"Unknown"))</x:f>
      </x:c>
      <x:c r="I347" s="60" t="str">
        <x:f>IF($C347="","",IFERROR(VLOOKUP($C347,Matches!$A$2:$Q$200,16,FALSE),""))</x:f>
      </x:c>
      <x:c r="J347" s="18" t="str">
        <x:f>IF($C347="","",IFERROR(VLOOKUP($C347,Matches!$A$2:$Q$200,11,FALSE),""))</x:f>
      </x:c>
      <x:c r="K347" s="18" t="str">
        <x:f>IF($C347="","",IFERROR(VLOOKUP($C347,Matches!$A$2:$Q$200,12,FALSE),""))</x:f>
      </x:c>
      <x:c r="L347" s="18" t="str">
        <x:f>IF($A347="","",IF($C347=1,"Yes",IF(OR($I347="",$A347&lt;$I347),"Yes","Late")))</x:f>
      </x:c>
      <x:c r="M347" s="66" t="str">
        <x:f>IF($A347="","",IF($L347&lt;&gt;"Yes",0,IF($E347="",0,IF($J347="",0,IF($H347="Group",IF($E347=$J347,Setup!$H$2,Setup!$H$3),IF($E347=$K347,Setup!$H$2,Setup!$H$3))))))</x:f>
      </x:c>
      <x:c r="N347" s="66" t="str">
        <x:f>IF($A347="","",IF($L347&lt;&gt;"Yes",0,IF(OR($F347="",$G347=""),0,IF(AND($F347=VLOOKUP($C347,Matches!$A$2:$Q$200,9,FALSE),$G347=VLOOKUP($C347,Matches!$A$2:$Q$200,10,FALSE)),Setup!$H$5,0))))</x:f>
      </x:c>
      <x:c r="O347" s="66" t="str">
        <x:f>IF($A347="","",$M347+$N347)</x:f>
      </x:c>
      <x:c r="P347" s="18" t="str">
        <x:f>IF($A347="","",IF($L347="Late","Late - 0 points",IF($J347="","Waiting for result",IF($O347&gt;0,"Scored",IF($O347&lt;0,"Wrong pick","No points")))))</x:f>
      </x:c>
    </x:row>
    <x:row r="348">
      <x:c r="A348" s="60" t="n">
        <x:f>'Form Responses 1'!A348</x:f>
        <x:v>0</x:v>
      </x:c>
      <x:c r="B348" s="18" t="n">
        <x:f>'Form Responses 1'!B348</x:f>
        <x:v>0</x:v>
      </x:c>
      <x:c r="C348" s="18" t="n">
        <x:f>'Form Responses 1'!C348</x:f>
        <x:v>0</x:v>
      </x:c>
      <x:c r="D348" s="18" t="n">
        <x:f>'Form Responses 1'!D348</x:f>
        <x:v>0</x:v>
      </x:c>
      <x:c r="E348" s="18" t="n">
        <x:f>'Form Responses 1'!E348</x:f>
        <x:v>0</x:v>
      </x:c>
      <x:c r="F348" s="18" t="n">
        <x:f>'Form Responses 1'!F348</x:f>
        <x:v>0</x:v>
      </x:c>
      <x:c r="G348" s="18" t="n">
        <x:f>'Form Responses 1'!G348</x:f>
        <x:v>0</x:v>
      </x:c>
      <x:c r="H348" s="18" t="str">
        <x:f>IF($C348="","",IFERROR(VLOOKUP($C348,Matches!$A$2:$Q$200,5,FALSE),"Unknown"))</x:f>
      </x:c>
      <x:c r="I348" s="60" t="str">
        <x:f>IF($C348="","",IFERROR(VLOOKUP($C348,Matches!$A$2:$Q$200,16,FALSE),""))</x:f>
      </x:c>
      <x:c r="J348" s="18" t="str">
        <x:f>IF($C348="","",IFERROR(VLOOKUP($C348,Matches!$A$2:$Q$200,11,FALSE),""))</x:f>
      </x:c>
      <x:c r="K348" s="18" t="str">
        <x:f>IF($C348="","",IFERROR(VLOOKUP($C348,Matches!$A$2:$Q$200,12,FALSE),""))</x:f>
      </x:c>
      <x:c r="L348" s="18" t="str">
        <x:f>IF($A348="","",IF($C348=1,"Yes",IF(OR($I348="",$A348&lt;$I348),"Yes","Late")))</x:f>
      </x:c>
      <x:c r="M348" s="66" t="str">
        <x:f>IF($A348="","",IF($L348&lt;&gt;"Yes",0,IF($E348="",0,IF($J348="",0,IF($H348="Group",IF($E348=$J348,Setup!$H$2,Setup!$H$3),IF($E348=$K348,Setup!$H$2,Setup!$H$3))))))</x:f>
      </x:c>
      <x:c r="N348" s="66" t="str">
        <x:f>IF($A348="","",IF($L348&lt;&gt;"Yes",0,IF(OR($F348="",$G348=""),0,IF(AND($F348=VLOOKUP($C348,Matches!$A$2:$Q$200,9,FALSE),$G348=VLOOKUP($C348,Matches!$A$2:$Q$200,10,FALSE)),Setup!$H$5,0))))</x:f>
      </x:c>
      <x:c r="O348" s="66" t="str">
        <x:f>IF($A348="","",$M348+$N348)</x:f>
      </x:c>
      <x:c r="P348" s="18" t="str">
        <x:f>IF($A348="","",IF($L348="Late","Late - 0 points",IF($J348="","Waiting for result",IF($O348&gt;0,"Scored",IF($O348&lt;0,"Wrong pick","No points")))))</x:f>
      </x:c>
    </x:row>
    <x:row r="349">
      <x:c r="A349" s="60" t="n">
        <x:f>'Form Responses 1'!A349</x:f>
        <x:v>0</x:v>
      </x:c>
      <x:c r="B349" s="18" t="n">
        <x:f>'Form Responses 1'!B349</x:f>
        <x:v>0</x:v>
      </x:c>
      <x:c r="C349" s="18" t="n">
        <x:f>'Form Responses 1'!C349</x:f>
        <x:v>0</x:v>
      </x:c>
      <x:c r="D349" s="18" t="n">
        <x:f>'Form Responses 1'!D349</x:f>
        <x:v>0</x:v>
      </x:c>
      <x:c r="E349" s="18" t="n">
        <x:f>'Form Responses 1'!E349</x:f>
        <x:v>0</x:v>
      </x:c>
      <x:c r="F349" s="18" t="n">
        <x:f>'Form Responses 1'!F349</x:f>
        <x:v>0</x:v>
      </x:c>
      <x:c r="G349" s="18" t="n">
        <x:f>'Form Responses 1'!G349</x:f>
        <x:v>0</x:v>
      </x:c>
      <x:c r="H349" s="18" t="str">
        <x:f>IF($C349="","",IFERROR(VLOOKUP($C349,Matches!$A$2:$Q$200,5,FALSE),"Unknown"))</x:f>
      </x:c>
      <x:c r="I349" s="60" t="str">
        <x:f>IF($C349="","",IFERROR(VLOOKUP($C349,Matches!$A$2:$Q$200,16,FALSE),""))</x:f>
      </x:c>
      <x:c r="J349" s="18" t="str">
        <x:f>IF($C349="","",IFERROR(VLOOKUP($C349,Matches!$A$2:$Q$200,11,FALSE),""))</x:f>
      </x:c>
      <x:c r="K349" s="18" t="str">
        <x:f>IF($C349="","",IFERROR(VLOOKUP($C349,Matches!$A$2:$Q$200,12,FALSE),""))</x:f>
      </x:c>
      <x:c r="L349" s="18" t="str">
        <x:f>IF($A349="","",IF($C349=1,"Yes",IF(OR($I349="",$A349&lt;$I349),"Yes","Late")))</x:f>
      </x:c>
      <x:c r="M349" s="66" t="str">
        <x:f>IF($A349="","",IF($L349&lt;&gt;"Yes",0,IF($E349="",0,IF($J349="",0,IF($H349="Group",IF($E349=$J349,Setup!$H$2,Setup!$H$3),IF($E349=$K349,Setup!$H$2,Setup!$H$3))))))</x:f>
      </x:c>
      <x:c r="N349" s="66" t="str">
        <x:f>IF($A349="","",IF($L349&lt;&gt;"Yes",0,IF(OR($F349="",$G349=""),0,IF(AND($F349=VLOOKUP($C349,Matches!$A$2:$Q$200,9,FALSE),$G349=VLOOKUP($C349,Matches!$A$2:$Q$200,10,FALSE)),Setup!$H$5,0))))</x:f>
      </x:c>
      <x:c r="O349" s="66" t="str">
        <x:f>IF($A349="","",$M349+$N349)</x:f>
      </x:c>
      <x:c r="P349" s="18" t="str">
        <x:f>IF($A349="","",IF($L349="Late","Late - 0 points",IF($J349="","Waiting for result",IF($O349&gt;0,"Scored",IF($O349&lt;0,"Wrong pick","No points")))))</x:f>
      </x:c>
    </x:row>
    <x:row r="350">
      <x:c r="A350" s="60" t="n">
        <x:f>'Form Responses 1'!A350</x:f>
        <x:v>0</x:v>
      </x:c>
      <x:c r="B350" s="18" t="n">
        <x:f>'Form Responses 1'!B350</x:f>
        <x:v>0</x:v>
      </x:c>
      <x:c r="C350" s="18" t="n">
        <x:f>'Form Responses 1'!C350</x:f>
        <x:v>0</x:v>
      </x:c>
      <x:c r="D350" s="18" t="n">
        <x:f>'Form Responses 1'!D350</x:f>
        <x:v>0</x:v>
      </x:c>
      <x:c r="E350" s="18" t="n">
        <x:f>'Form Responses 1'!E350</x:f>
        <x:v>0</x:v>
      </x:c>
      <x:c r="F350" s="18" t="n">
        <x:f>'Form Responses 1'!F350</x:f>
        <x:v>0</x:v>
      </x:c>
      <x:c r="G350" s="18" t="n">
        <x:f>'Form Responses 1'!G350</x:f>
        <x:v>0</x:v>
      </x:c>
      <x:c r="H350" s="18" t="str">
        <x:f>IF($C350="","",IFERROR(VLOOKUP($C350,Matches!$A$2:$Q$200,5,FALSE),"Unknown"))</x:f>
      </x:c>
      <x:c r="I350" s="60" t="str">
        <x:f>IF($C350="","",IFERROR(VLOOKUP($C350,Matches!$A$2:$Q$200,16,FALSE),""))</x:f>
      </x:c>
      <x:c r="J350" s="18" t="str">
        <x:f>IF($C350="","",IFERROR(VLOOKUP($C350,Matches!$A$2:$Q$200,11,FALSE),""))</x:f>
      </x:c>
      <x:c r="K350" s="18" t="str">
        <x:f>IF($C350="","",IFERROR(VLOOKUP($C350,Matches!$A$2:$Q$200,12,FALSE),""))</x:f>
      </x:c>
      <x:c r="L350" s="18" t="str">
        <x:f>IF($A350="","",IF($C350=1,"Yes",IF(OR($I350="",$A350&lt;$I350),"Yes","Late")))</x:f>
      </x:c>
      <x:c r="M350" s="66" t="str">
        <x:f>IF($A350="","",IF($L350&lt;&gt;"Yes",0,IF($E350="",0,IF($J350="",0,IF($H350="Group",IF($E350=$J350,Setup!$H$2,Setup!$H$3),IF($E350=$K350,Setup!$H$2,Setup!$H$3))))))</x:f>
      </x:c>
      <x:c r="N350" s="66" t="str">
        <x:f>IF($A350="","",IF($L350&lt;&gt;"Yes",0,IF(OR($F350="",$G350=""),0,IF(AND($F350=VLOOKUP($C350,Matches!$A$2:$Q$200,9,FALSE),$G350=VLOOKUP($C350,Matches!$A$2:$Q$200,10,FALSE)),Setup!$H$5,0))))</x:f>
      </x:c>
      <x:c r="O350" s="66" t="str">
        <x:f>IF($A350="","",$M350+$N350)</x:f>
      </x:c>
      <x:c r="P350" s="18" t="str">
        <x:f>IF($A350="","",IF($L350="Late","Late - 0 points",IF($J350="","Waiting for result",IF($O350&gt;0,"Scored",IF($O350&lt;0,"Wrong pick","No points")))))</x:f>
      </x:c>
    </x:row>
    <x:row r="351">
      <x:c r="A351" s="60" t="n">
        <x:f>'Form Responses 1'!A351</x:f>
        <x:v>0</x:v>
      </x:c>
      <x:c r="B351" s="18" t="n">
        <x:f>'Form Responses 1'!B351</x:f>
        <x:v>0</x:v>
      </x:c>
      <x:c r="C351" s="18" t="n">
        <x:f>'Form Responses 1'!C351</x:f>
        <x:v>0</x:v>
      </x:c>
      <x:c r="D351" s="18" t="n">
        <x:f>'Form Responses 1'!D351</x:f>
        <x:v>0</x:v>
      </x:c>
      <x:c r="E351" s="18" t="n">
        <x:f>'Form Responses 1'!E351</x:f>
        <x:v>0</x:v>
      </x:c>
      <x:c r="F351" s="18" t="n">
        <x:f>'Form Responses 1'!F351</x:f>
        <x:v>0</x:v>
      </x:c>
      <x:c r="G351" s="18" t="n">
        <x:f>'Form Responses 1'!G351</x:f>
        <x:v>0</x:v>
      </x:c>
      <x:c r="H351" s="18" t="str">
        <x:f>IF($C351="","",IFERROR(VLOOKUP($C351,Matches!$A$2:$Q$200,5,FALSE),"Unknown"))</x:f>
      </x:c>
      <x:c r="I351" s="60" t="str">
        <x:f>IF($C351="","",IFERROR(VLOOKUP($C351,Matches!$A$2:$Q$200,16,FALSE),""))</x:f>
      </x:c>
      <x:c r="J351" s="18" t="str">
        <x:f>IF($C351="","",IFERROR(VLOOKUP($C351,Matches!$A$2:$Q$200,11,FALSE),""))</x:f>
      </x:c>
      <x:c r="K351" s="18" t="str">
        <x:f>IF($C351="","",IFERROR(VLOOKUP($C351,Matches!$A$2:$Q$200,12,FALSE),""))</x:f>
      </x:c>
      <x:c r="L351" s="18" t="str">
        <x:f>IF($A351="","",IF($C351=1,"Yes",IF(OR($I351="",$A351&lt;$I351),"Yes","Late")))</x:f>
      </x:c>
      <x:c r="M351" s="66" t="str">
        <x:f>IF($A351="","",IF($L351&lt;&gt;"Yes",0,IF($E351="",0,IF($J351="",0,IF($H351="Group",IF($E351=$J351,Setup!$H$2,Setup!$H$3),IF($E351=$K351,Setup!$H$2,Setup!$H$3))))))</x:f>
      </x:c>
      <x:c r="N351" s="66" t="str">
        <x:f>IF($A351="","",IF($L351&lt;&gt;"Yes",0,IF(OR($F351="",$G351=""),0,IF(AND($F351=VLOOKUP($C351,Matches!$A$2:$Q$200,9,FALSE),$G351=VLOOKUP($C351,Matches!$A$2:$Q$200,10,FALSE)),Setup!$H$5,0))))</x:f>
      </x:c>
      <x:c r="O351" s="66" t="str">
        <x:f>IF($A351="","",$M351+$N351)</x:f>
      </x:c>
      <x:c r="P351" s="18" t="str">
        <x:f>IF($A351="","",IF($L351="Late","Late - 0 points",IF($J351="","Waiting for result",IF($O351&gt;0,"Scored",IF($O351&lt;0,"Wrong pick","No points")))))</x:f>
      </x:c>
    </x:row>
    <x:row r="352">
      <x:c r="A352" s="60" t="n">
        <x:f>'Form Responses 1'!A352</x:f>
        <x:v>0</x:v>
      </x:c>
      <x:c r="B352" s="18" t="n">
        <x:f>'Form Responses 1'!B352</x:f>
        <x:v>0</x:v>
      </x:c>
      <x:c r="C352" s="18" t="n">
        <x:f>'Form Responses 1'!C352</x:f>
        <x:v>0</x:v>
      </x:c>
      <x:c r="D352" s="18" t="n">
        <x:f>'Form Responses 1'!D352</x:f>
        <x:v>0</x:v>
      </x:c>
      <x:c r="E352" s="18" t="n">
        <x:f>'Form Responses 1'!E352</x:f>
        <x:v>0</x:v>
      </x:c>
      <x:c r="F352" s="18" t="n">
        <x:f>'Form Responses 1'!F352</x:f>
        <x:v>0</x:v>
      </x:c>
      <x:c r="G352" s="18" t="n">
        <x:f>'Form Responses 1'!G352</x:f>
        <x:v>0</x:v>
      </x:c>
      <x:c r="H352" s="18" t="str">
        <x:f>IF($C352="","",IFERROR(VLOOKUP($C352,Matches!$A$2:$Q$200,5,FALSE),"Unknown"))</x:f>
      </x:c>
      <x:c r="I352" s="60" t="str">
        <x:f>IF($C352="","",IFERROR(VLOOKUP($C352,Matches!$A$2:$Q$200,16,FALSE),""))</x:f>
      </x:c>
      <x:c r="J352" s="18" t="str">
        <x:f>IF($C352="","",IFERROR(VLOOKUP($C352,Matches!$A$2:$Q$200,11,FALSE),""))</x:f>
      </x:c>
      <x:c r="K352" s="18" t="str">
        <x:f>IF($C352="","",IFERROR(VLOOKUP($C352,Matches!$A$2:$Q$200,12,FALSE),""))</x:f>
      </x:c>
      <x:c r="L352" s="18" t="str">
        <x:f>IF($A352="","",IF($C352=1,"Yes",IF(OR($I352="",$A352&lt;$I352),"Yes","Late")))</x:f>
      </x:c>
      <x:c r="M352" s="66" t="str">
        <x:f>IF($A352="","",IF($L352&lt;&gt;"Yes",0,IF($E352="",0,IF($J352="",0,IF($H352="Group",IF($E352=$J352,Setup!$H$2,Setup!$H$3),IF($E352=$K352,Setup!$H$2,Setup!$H$3))))))</x:f>
      </x:c>
      <x:c r="N352" s="66" t="str">
        <x:f>IF($A352="","",IF($L352&lt;&gt;"Yes",0,IF(OR($F352="",$G352=""),0,IF(AND($F352=VLOOKUP($C352,Matches!$A$2:$Q$200,9,FALSE),$G352=VLOOKUP($C352,Matches!$A$2:$Q$200,10,FALSE)),Setup!$H$5,0))))</x:f>
      </x:c>
      <x:c r="O352" s="66" t="str">
        <x:f>IF($A352="","",$M352+$N352)</x:f>
      </x:c>
      <x:c r="P352" s="18" t="str">
        <x:f>IF($A352="","",IF($L352="Late","Late - 0 points",IF($J352="","Waiting for result",IF($O352&gt;0,"Scored",IF($O352&lt;0,"Wrong pick","No points")))))</x:f>
      </x:c>
    </x:row>
    <x:row r="353">
      <x:c r="A353" s="60" t="n">
        <x:f>'Form Responses 1'!A353</x:f>
        <x:v>0</x:v>
      </x:c>
      <x:c r="B353" s="18" t="n">
        <x:f>'Form Responses 1'!B353</x:f>
        <x:v>0</x:v>
      </x:c>
      <x:c r="C353" s="18" t="n">
        <x:f>'Form Responses 1'!C353</x:f>
        <x:v>0</x:v>
      </x:c>
      <x:c r="D353" s="18" t="n">
        <x:f>'Form Responses 1'!D353</x:f>
        <x:v>0</x:v>
      </x:c>
      <x:c r="E353" s="18" t="n">
        <x:f>'Form Responses 1'!E353</x:f>
        <x:v>0</x:v>
      </x:c>
      <x:c r="F353" s="18" t="n">
        <x:f>'Form Responses 1'!F353</x:f>
        <x:v>0</x:v>
      </x:c>
      <x:c r="G353" s="18" t="n">
        <x:f>'Form Responses 1'!G353</x:f>
        <x:v>0</x:v>
      </x:c>
      <x:c r="H353" s="18" t="str">
        <x:f>IF($C353="","",IFERROR(VLOOKUP($C353,Matches!$A$2:$Q$200,5,FALSE),"Unknown"))</x:f>
      </x:c>
      <x:c r="I353" s="60" t="str">
        <x:f>IF($C353="","",IFERROR(VLOOKUP($C353,Matches!$A$2:$Q$200,16,FALSE),""))</x:f>
      </x:c>
      <x:c r="J353" s="18" t="str">
        <x:f>IF($C353="","",IFERROR(VLOOKUP($C353,Matches!$A$2:$Q$200,11,FALSE),""))</x:f>
      </x:c>
      <x:c r="K353" s="18" t="str">
        <x:f>IF($C353="","",IFERROR(VLOOKUP($C353,Matches!$A$2:$Q$200,12,FALSE),""))</x:f>
      </x:c>
      <x:c r="L353" s="18" t="str">
        <x:f>IF($A353="","",IF($C353=1,"Yes",IF(OR($I353="",$A353&lt;$I353),"Yes","Late")))</x:f>
      </x:c>
      <x:c r="M353" s="66" t="str">
        <x:f>IF($A353="","",IF($L353&lt;&gt;"Yes",0,IF($E353="",0,IF($J353="",0,IF($H353="Group",IF($E353=$J353,Setup!$H$2,Setup!$H$3),IF($E353=$K353,Setup!$H$2,Setup!$H$3))))))</x:f>
      </x:c>
      <x:c r="N353" s="66" t="str">
        <x:f>IF($A353="","",IF($L353&lt;&gt;"Yes",0,IF(OR($F353="",$G353=""),0,IF(AND($F353=VLOOKUP($C353,Matches!$A$2:$Q$200,9,FALSE),$G353=VLOOKUP($C353,Matches!$A$2:$Q$200,10,FALSE)),Setup!$H$5,0))))</x:f>
      </x:c>
      <x:c r="O353" s="66" t="str">
        <x:f>IF($A353="","",$M353+$N353)</x:f>
      </x:c>
      <x:c r="P353" s="18" t="str">
        <x:f>IF($A353="","",IF($L353="Late","Late - 0 points",IF($J353="","Waiting for result",IF($O353&gt;0,"Scored",IF($O353&lt;0,"Wrong pick","No points")))))</x:f>
      </x:c>
    </x:row>
    <x:row r="354">
      <x:c r="A354" s="60" t="n">
        <x:f>'Form Responses 1'!A354</x:f>
        <x:v>0</x:v>
      </x:c>
      <x:c r="B354" s="18" t="n">
        <x:f>'Form Responses 1'!B354</x:f>
        <x:v>0</x:v>
      </x:c>
      <x:c r="C354" s="18" t="n">
        <x:f>'Form Responses 1'!C354</x:f>
        <x:v>0</x:v>
      </x:c>
      <x:c r="D354" s="18" t="n">
        <x:f>'Form Responses 1'!D354</x:f>
        <x:v>0</x:v>
      </x:c>
      <x:c r="E354" s="18" t="n">
        <x:f>'Form Responses 1'!E354</x:f>
        <x:v>0</x:v>
      </x:c>
      <x:c r="F354" s="18" t="n">
        <x:f>'Form Responses 1'!F354</x:f>
        <x:v>0</x:v>
      </x:c>
      <x:c r="G354" s="18" t="n">
        <x:f>'Form Responses 1'!G354</x:f>
        <x:v>0</x:v>
      </x:c>
      <x:c r="H354" s="18" t="str">
        <x:f>IF($C354="","",IFERROR(VLOOKUP($C354,Matches!$A$2:$Q$200,5,FALSE),"Unknown"))</x:f>
      </x:c>
      <x:c r="I354" s="60" t="str">
        <x:f>IF($C354="","",IFERROR(VLOOKUP($C354,Matches!$A$2:$Q$200,16,FALSE),""))</x:f>
      </x:c>
      <x:c r="J354" s="18" t="str">
        <x:f>IF($C354="","",IFERROR(VLOOKUP($C354,Matches!$A$2:$Q$200,11,FALSE),""))</x:f>
      </x:c>
      <x:c r="K354" s="18" t="str">
        <x:f>IF($C354="","",IFERROR(VLOOKUP($C354,Matches!$A$2:$Q$200,12,FALSE),""))</x:f>
      </x:c>
      <x:c r="L354" s="18" t="str">
        <x:f>IF($A354="","",IF($C354=1,"Yes",IF(OR($I354="",$A354&lt;$I354),"Yes","Late")))</x:f>
      </x:c>
      <x:c r="M354" s="66" t="str">
        <x:f>IF($A354="","",IF($L354&lt;&gt;"Yes",0,IF($E354="",0,IF($J354="",0,IF($H354="Group",IF($E354=$J354,Setup!$H$2,Setup!$H$3),IF($E354=$K354,Setup!$H$2,Setup!$H$3))))))</x:f>
      </x:c>
      <x:c r="N354" s="66" t="str">
        <x:f>IF($A354="","",IF($L354&lt;&gt;"Yes",0,IF(OR($F354="",$G354=""),0,IF(AND($F354=VLOOKUP($C354,Matches!$A$2:$Q$200,9,FALSE),$G354=VLOOKUP($C354,Matches!$A$2:$Q$200,10,FALSE)),Setup!$H$5,0))))</x:f>
      </x:c>
      <x:c r="O354" s="66" t="str">
        <x:f>IF($A354="","",$M354+$N354)</x:f>
      </x:c>
      <x:c r="P354" s="18" t="str">
        <x:f>IF($A354="","",IF($L354="Late","Late - 0 points",IF($J354="","Waiting for result",IF($O354&gt;0,"Scored",IF($O354&lt;0,"Wrong pick","No points")))))</x:f>
      </x:c>
    </x:row>
    <x:row r="355">
      <x:c r="A355" s="60" t="n">
        <x:f>'Form Responses 1'!A355</x:f>
        <x:v>0</x:v>
      </x:c>
      <x:c r="B355" s="18" t="n">
        <x:f>'Form Responses 1'!B355</x:f>
        <x:v>0</x:v>
      </x:c>
      <x:c r="C355" s="18" t="n">
        <x:f>'Form Responses 1'!C355</x:f>
        <x:v>0</x:v>
      </x:c>
      <x:c r="D355" s="18" t="n">
        <x:f>'Form Responses 1'!D355</x:f>
        <x:v>0</x:v>
      </x:c>
      <x:c r="E355" s="18" t="n">
        <x:f>'Form Responses 1'!E355</x:f>
        <x:v>0</x:v>
      </x:c>
      <x:c r="F355" s="18" t="n">
        <x:f>'Form Responses 1'!F355</x:f>
        <x:v>0</x:v>
      </x:c>
      <x:c r="G355" s="18" t="n">
        <x:f>'Form Responses 1'!G355</x:f>
        <x:v>0</x:v>
      </x:c>
      <x:c r="H355" s="18" t="str">
        <x:f>IF($C355="","",IFERROR(VLOOKUP($C355,Matches!$A$2:$Q$200,5,FALSE),"Unknown"))</x:f>
      </x:c>
      <x:c r="I355" s="60" t="str">
        <x:f>IF($C355="","",IFERROR(VLOOKUP($C355,Matches!$A$2:$Q$200,16,FALSE),""))</x:f>
      </x:c>
      <x:c r="J355" s="18" t="str">
        <x:f>IF($C355="","",IFERROR(VLOOKUP($C355,Matches!$A$2:$Q$200,11,FALSE),""))</x:f>
      </x:c>
      <x:c r="K355" s="18" t="str">
        <x:f>IF($C355="","",IFERROR(VLOOKUP($C355,Matches!$A$2:$Q$200,12,FALSE),""))</x:f>
      </x:c>
      <x:c r="L355" s="18" t="str">
        <x:f>IF($A355="","",IF($C355=1,"Yes",IF(OR($I355="",$A355&lt;$I355),"Yes","Late")))</x:f>
      </x:c>
      <x:c r="M355" s="66" t="str">
        <x:f>IF($A355="","",IF($L355&lt;&gt;"Yes",0,IF($E355="",0,IF($J355="",0,IF($H355="Group",IF($E355=$J355,Setup!$H$2,Setup!$H$3),IF($E355=$K355,Setup!$H$2,Setup!$H$3))))))</x:f>
      </x:c>
      <x:c r="N355" s="66" t="str">
        <x:f>IF($A355="","",IF($L355&lt;&gt;"Yes",0,IF(OR($F355="",$G355=""),0,IF(AND($F355=VLOOKUP($C355,Matches!$A$2:$Q$200,9,FALSE),$G355=VLOOKUP($C355,Matches!$A$2:$Q$200,10,FALSE)),Setup!$H$5,0))))</x:f>
      </x:c>
      <x:c r="O355" s="66" t="str">
        <x:f>IF($A355="","",$M355+$N355)</x:f>
      </x:c>
      <x:c r="P355" s="18" t="str">
        <x:f>IF($A355="","",IF($L355="Late","Late - 0 points",IF($J355="","Waiting for result",IF($O355&gt;0,"Scored",IF($O355&lt;0,"Wrong pick","No points")))))</x:f>
      </x:c>
    </x:row>
    <x:row r="356">
      <x:c r="A356" s="60" t="n">
        <x:f>'Form Responses 1'!A356</x:f>
        <x:v>0</x:v>
      </x:c>
      <x:c r="B356" s="18" t="n">
        <x:f>'Form Responses 1'!B356</x:f>
        <x:v>0</x:v>
      </x:c>
      <x:c r="C356" s="18" t="n">
        <x:f>'Form Responses 1'!C356</x:f>
        <x:v>0</x:v>
      </x:c>
      <x:c r="D356" s="18" t="n">
        <x:f>'Form Responses 1'!D356</x:f>
        <x:v>0</x:v>
      </x:c>
      <x:c r="E356" s="18" t="n">
        <x:f>'Form Responses 1'!E356</x:f>
        <x:v>0</x:v>
      </x:c>
      <x:c r="F356" s="18" t="n">
        <x:f>'Form Responses 1'!F356</x:f>
        <x:v>0</x:v>
      </x:c>
      <x:c r="G356" s="18" t="n">
        <x:f>'Form Responses 1'!G356</x:f>
        <x:v>0</x:v>
      </x:c>
      <x:c r="H356" s="18" t="str">
        <x:f>IF($C356="","",IFERROR(VLOOKUP($C356,Matches!$A$2:$Q$200,5,FALSE),"Unknown"))</x:f>
      </x:c>
      <x:c r="I356" s="60" t="str">
        <x:f>IF($C356="","",IFERROR(VLOOKUP($C356,Matches!$A$2:$Q$200,16,FALSE),""))</x:f>
      </x:c>
      <x:c r="J356" s="18" t="str">
        <x:f>IF($C356="","",IFERROR(VLOOKUP($C356,Matches!$A$2:$Q$200,11,FALSE),""))</x:f>
      </x:c>
      <x:c r="K356" s="18" t="str">
        <x:f>IF($C356="","",IFERROR(VLOOKUP($C356,Matches!$A$2:$Q$200,12,FALSE),""))</x:f>
      </x:c>
      <x:c r="L356" s="18" t="str">
        <x:f>IF($A356="","",IF($C356=1,"Yes",IF(OR($I356="",$A356&lt;$I356),"Yes","Late")))</x:f>
      </x:c>
      <x:c r="M356" s="66" t="str">
        <x:f>IF($A356="","",IF($L356&lt;&gt;"Yes",0,IF($E356="",0,IF($J356="",0,IF($H356="Group",IF($E356=$J356,Setup!$H$2,Setup!$H$3),IF($E356=$K356,Setup!$H$2,Setup!$H$3))))))</x:f>
      </x:c>
      <x:c r="N356" s="66" t="str">
        <x:f>IF($A356="","",IF($L356&lt;&gt;"Yes",0,IF(OR($F356="",$G356=""),0,IF(AND($F356=VLOOKUP($C356,Matches!$A$2:$Q$200,9,FALSE),$G356=VLOOKUP($C356,Matches!$A$2:$Q$200,10,FALSE)),Setup!$H$5,0))))</x:f>
      </x:c>
      <x:c r="O356" s="66" t="str">
        <x:f>IF($A356="","",$M356+$N356)</x:f>
      </x:c>
      <x:c r="P356" s="18" t="str">
        <x:f>IF($A356="","",IF($L356="Late","Late - 0 points",IF($J356="","Waiting for result",IF($O356&gt;0,"Scored",IF($O356&lt;0,"Wrong pick","No points")))))</x:f>
      </x:c>
    </x:row>
    <x:row r="357">
      <x:c r="A357" s="60" t="n">
        <x:f>'Form Responses 1'!A357</x:f>
        <x:v>0</x:v>
      </x:c>
      <x:c r="B357" s="18" t="n">
        <x:f>'Form Responses 1'!B357</x:f>
        <x:v>0</x:v>
      </x:c>
      <x:c r="C357" s="18" t="n">
        <x:f>'Form Responses 1'!C357</x:f>
        <x:v>0</x:v>
      </x:c>
      <x:c r="D357" s="18" t="n">
        <x:f>'Form Responses 1'!D357</x:f>
        <x:v>0</x:v>
      </x:c>
      <x:c r="E357" s="18" t="n">
        <x:f>'Form Responses 1'!E357</x:f>
        <x:v>0</x:v>
      </x:c>
      <x:c r="F357" s="18" t="n">
        <x:f>'Form Responses 1'!F357</x:f>
        <x:v>0</x:v>
      </x:c>
      <x:c r="G357" s="18" t="n">
        <x:f>'Form Responses 1'!G357</x:f>
        <x:v>0</x:v>
      </x:c>
      <x:c r="H357" s="18" t="str">
        <x:f>IF($C357="","",IFERROR(VLOOKUP($C357,Matches!$A$2:$Q$200,5,FALSE),"Unknown"))</x:f>
      </x:c>
      <x:c r="I357" s="60" t="str">
        <x:f>IF($C357="","",IFERROR(VLOOKUP($C357,Matches!$A$2:$Q$200,16,FALSE),""))</x:f>
      </x:c>
      <x:c r="J357" s="18" t="str">
        <x:f>IF($C357="","",IFERROR(VLOOKUP($C357,Matches!$A$2:$Q$200,11,FALSE),""))</x:f>
      </x:c>
      <x:c r="K357" s="18" t="str">
        <x:f>IF($C357="","",IFERROR(VLOOKUP($C357,Matches!$A$2:$Q$200,12,FALSE),""))</x:f>
      </x:c>
      <x:c r="L357" s="18" t="str">
        <x:f>IF($A357="","",IF($C357=1,"Yes",IF(OR($I357="",$A357&lt;$I357),"Yes","Late")))</x:f>
      </x:c>
      <x:c r="M357" s="66" t="str">
        <x:f>IF($A357="","",IF($L357&lt;&gt;"Yes",0,IF($E357="",0,IF($J357="",0,IF($H357="Group",IF($E357=$J357,Setup!$H$2,Setup!$H$3),IF($E357=$K357,Setup!$H$2,Setup!$H$3))))))</x:f>
      </x:c>
      <x:c r="N357" s="66" t="str">
        <x:f>IF($A357="","",IF($L357&lt;&gt;"Yes",0,IF(OR($F357="",$G357=""),0,IF(AND($F357=VLOOKUP($C357,Matches!$A$2:$Q$200,9,FALSE),$G357=VLOOKUP($C357,Matches!$A$2:$Q$200,10,FALSE)),Setup!$H$5,0))))</x:f>
      </x:c>
      <x:c r="O357" s="66" t="str">
        <x:f>IF($A357="","",$M357+$N357)</x:f>
      </x:c>
      <x:c r="P357" s="18" t="str">
        <x:f>IF($A357="","",IF($L357="Late","Late - 0 points",IF($J357="","Waiting for result",IF($O357&gt;0,"Scored",IF($O357&lt;0,"Wrong pick","No points")))))</x:f>
      </x:c>
    </x:row>
    <x:row r="358">
      <x:c r="A358" s="60" t="n">
        <x:f>'Form Responses 1'!A358</x:f>
        <x:v>0</x:v>
      </x:c>
      <x:c r="B358" s="18" t="n">
        <x:f>'Form Responses 1'!B358</x:f>
        <x:v>0</x:v>
      </x:c>
      <x:c r="C358" s="18" t="n">
        <x:f>'Form Responses 1'!C358</x:f>
        <x:v>0</x:v>
      </x:c>
      <x:c r="D358" s="18" t="n">
        <x:f>'Form Responses 1'!D358</x:f>
        <x:v>0</x:v>
      </x:c>
      <x:c r="E358" s="18" t="n">
        <x:f>'Form Responses 1'!E358</x:f>
        <x:v>0</x:v>
      </x:c>
      <x:c r="F358" s="18" t="n">
        <x:f>'Form Responses 1'!F358</x:f>
        <x:v>0</x:v>
      </x:c>
      <x:c r="G358" s="18" t="n">
        <x:f>'Form Responses 1'!G358</x:f>
        <x:v>0</x:v>
      </x:c>
      <x:c r="H358" s="18" t="str">
        <x:f>IF($C358="","",IFERROR(VLOOKUP($C358,Matches!$A$2:$Q$200,5,FALSE),"Unknown"))</x:f>
      </x:c>
      <x:c r="I358" s="60" t="str">
        <x:f>IF($C358="","",IFERROR(VLOOKUP($C358,Matches!$A$2:$Q$200,16,FALSE),""))</x:f>
      </x:c>
      <x:c r="J358" s="18" t="str">
        <x:f>IF($C358="","",IFERROR(VLOOKUP($C358,Matches!$A$2:$Q$200,11,FALSE),""))</x:f>
      </x:c>
      <x:c r="K358" s="18" t="str">
        <x:f>IF($C358="","",IFERROR(VLOOKUP($C358,Matches!$A$2:$Q$200,12,FALSE),""))</x:f>
      </x:c>
      <x:c r="L358" s="18" t="str">
        <x:f>IF($A358="","",IF($C358=1,"Yes",IF(OR($I358="",$A358&lt;$I358),"Yes","Late")))</x:f>
      </x:c>
      <x:c r="M358" s="66" t="str">
        <x:f>IF($A358="","",IF($L358&lt;&gt;"Yes",0,IF($E358="",0,IF($J358="",0,IF($H358="Group",IF($E358=$J358,Setup!$H$2,Setup!$H$3),IF($E358=$K358,Setup!$H$2,Setup!$H$3))))))</x:f>
      </x:c>
      <x:c r="N358" s="66" t="str">
        <x:f>IF($A358="","",IF($L358&lt;&gt;"Yes",0,IF(OR($F358="",$G358=""),0,IF(AND($F358=VLOOKUP($C358,Matches!$A$2:$Q$200,9,FALSE),$G358=VLOOKUP($C358,Matches!$A$2:$Q$200,10,FALSE)),Setup!$H$5,0))))</x:f>
      </x:c>
      <x:c r="O358" s="66" t="str">
        <x:f>IF($A358="","",$M358+$N358)</x:f>
      </x:c>
      <x:c r="P358" s="18" t="str">
        <x:f>IF($A358="","",IF($L358="Late","Late - 0 points",IF($J358="","Waiting for result",IF($O358&gt;0,"Scored",IF($O358&lt;0,"Wrong pick","No points")))))</x:f>
      </x:c>
    </x:row>
    <x:row r="359">
      <x:c r="A359" s="60" t="n">
        <x:f>'Form Responses 1'!A359</x:f>
        <x:v>0</x:v>
      </x:c>
      <x:c r="B359" s="18" t="n">
        <x:f>'Form Responses 1'!B359</x:f>
        <x:v>0</x:v>
      </x:c>
      <x:c r="C359" s="18" t="n">
        <x:f>'Form Responses 1'!C359</x:f>
        <x:v>0</x:v>
      </x:c>
      <x:c r="D359" s="18" t="n">
        <x:f>'Form Responses 1'!D359</x:f>
        <x:v>0</x:v>
      </x:c>
      <x:c r="E359" s="18" t="n">
        <x:f>'Form Responses 1'!E359</x:f>
        <x:v>0</x:v>
      </x:c>
      <x:c r="F359" s="18" t="n">
        <x:f>'Form Responses 1'!F359</x:f>
        <x:v>0</x:v>
      </x:c>
      <x:c r="G359" s="18" t="n">
        <x:f>'Form Responses 1'!G359</x:f>
        <x:v>0</x:v>
      </x:c>
      <x:c r="H359" s="18" t="str">
        <x:f>IF($C359="","",IFERROR(VLOOKUP($C359,Matches!$A$2:$Q$200,5,FALSE),"Unknown"))</x:f>
      </x:c>
      <x:c r="I359" s="60" t="str">
        <x:f>IF($C359="","",IFERROR(VLOOKUP($C359,Matches!$A$2:$Q$200,16,FALSE),""))</x:f>
      </x:c>
      <x:c r="J359" s="18" t="str">
        <x:f>IF($C359="","",IFERROR(VLOOKUP($C359,Matches!$A$2:$Q$200,11,FALSE),""))</x:f>
      </x:c>
      <x:c r="K359" s="18" t="str">
        <x:f>IF($C359="","",IFERROR(VLOOKUP($C359,Matches!$A$2:$Q$200,12,FALSE),""))</x:f>
      </x:c>
      <x:c r="L359" s="18" t="str">
        <x:f>IF($A359="","",IF($C359=1,"Yes",IF(OR($I359="",$A359&lt;$I359),"Yes","Late")))</x:f>
      </x:c>
      <x:c r="M359" s="66" t="str">
        <x:f>IF($A359="","",IF($L359&lt;&gt;"Yes",0,IF($E359="",0,IF($J359="",0,IF($H359="Group",IF($E359=$J359,Setup!$H$2,Setup!$H$3),IF($E359=$K359,Setup!$H$2,Setup!$H$3))))))</x:f>
      </x:c>
      <x:c r="N359" s="66" t="str">
        <x:f>IF($A359="","",IF($L359&lt;&gt;"Yes",0,IF(OR($F359="",$G359=""),0,IF(AND($F359=VLOOKUP($C359,Matches!$A$2:$Q$200,9,FALSE),$G359=VLOOKUP($C359,Matches!$A$2:$Q$200,10,FALSE)),Setup!$H$5,0))))</x:f>
      </x:c>
      <x:c r="O359" s="66" t="str">
        <x:f>IF($A359="","",$M359+$N359)</x:f>
      </x:c>
      <x:c r="P359" s="18" t="str">
        <x:f>IF($A359="","",IF($L359="Late","Late - 0 points",IF($J359="","Waiting for result",IF($O359&gt;0,"Scored",IF($O359&lt;0,"Wrong pick","No points")))))</x:f>
      </x:c>
    </x:row>
    <x:row r="360">
      <x:c r="A360" s="60" t="n">
        <x:f>'Form Responses 1'!A360</x:f>
        <x:v>0</x:v>
      </x:c>
      <x:c r="B360" s="18" t="n">
        <x:f>'Form Responses 1'!B360</x:f>
        <x:v>0</x:v>
      </x:c>
      <x:c r="C360" s="18" t="n">
        <x:f>'Form Responses 1'!C360</x:f>
        <x:v>0</x:v>
      </x:c>
      <x:c r="D360" s="18" t="n">
        <x:f>'Form Responses 1'!D360</x:f>
        <x:v>0</x:v>
      </x:c>
      <x:c r="E360" s="18" t="n">
        <x:f>'Form Responses 1'!E360</x:f>
        <x:v>0</x:v>
      </x:c>
      <x:c r="F360" s="18" t="n">
        <x:f>'Form Responses 1'!F360</x:f>
        <x:v>0</x:v>
      </x:c>
      <x:c r="G360" s="18" t="n">
        <x:f>'Form Responses 1'!G360</x:f>
        <x:v>0</x:v>
      </x:c>
      <x:c r="H360" s="18" t="str">
        <x:f>IF($C360="","",IFERROR(VLOOKUP($C360,Matches!$A$2:$Q$200,5,FALSE),"Unknown"))</x:f>
      </x:c>
      <x:c r="I360" s="60" t="str">
        <x:f>IF($C360="","",IFERROR(VLOOKUP($C360,Matches!$A$2:$Q$200,16,FALSE),""))</x:f>
      </x:c>
      <x:c r="J360" s="18" t="str">
        <x:f>IF($C360="","",IFERROR(VLOOKUP($C360,Matches!$A$2:$Q$200,11,FALSE),""))</x:f>
      </x:c>
      <x:c r="K360" s="18" t="str">
        <x:f>IF($C360="","",IFERROR(VLOOKUP($C360,Matches!$A$2:$Q$200,12,FALSE),""))</x:f>
      </x:c>
      <x:c r="L360" s="18" t="str">
        <x:f>IF($A360="","",IF($C360=1,"Yes",IF(OR($I360="",$A360&lt;$I360),"Yes","Late")))</x:f>
      </x:c>
      <x:c r="M360" s="66" t="str">
        <x:f>IF($A360="","",IF($L360&lt;&gt;"Yes",0,IF($E360="",0,IF($J360="",0,IF($H360="Group",IF($E360=$J360,Setup!$H$2,Setup!$H$3),IF($E360=$K360,Setup!$H$2,Setup!$H$3))))))</x:f>
      </x:c>
      <x:c r="N360" s="66" t="str">
        <x:f>IF($A360="","",IF($L360&lt;&gt;"Yes",0,IF(OR($F360="",$G360=""),0,IF(AND($F360=VLOOKUP($C360,Matches!$A$2:$Q$200,9,FALSE),$G360=VLOOKUP($C360,Matches!$A$2:$Q$200,10,FALSE)),Setup!$H$5,0))))</x:f>
      </x:c>
      <x:c r="O360" s="66" t="str">
        <x:f>IF($A360="","",$M360+$N360)</x:f>
      </x:c>
      <x:c r="P360" s="18" t="str">
        <x:f>IF($A360="","",IF($L360="Late","Late - 0 points",IF($J360="","Waiting for result",IF($O360&gt;0,"Scored",IF($O360&lt;0,"Wrong pick","No points")))))</x:f>
      </x:c>
    </x:row>
    <x:row r="361">
      <x:c r="A361" s="60" t="n">
        <x:f>'Form Responses 1'!A361</x:f>
        <x:v>0</x:v>
      </x:c>
      <x:c r="B361" s="18" t="n">
        <x:f>'Form Responses 1'!B361</x:f>
        <x:v>0</x:v>
      </x:c>
      <x:c r="C361" s="18" t="n">
        <x:f>'Form Responses 1'!C361</x:f>
        <x:v>0</x:v>
      </x:c>
      <x:c r="D361" s="18" t="n">
        <x:f>'Form Responses 1'!D361</x:f>
        <x:v>0</x:v>
      </x:c>
      <x:c r="E361" s="18" t="n">
        <x:f>'Form Responses 1'!E361</x:f>
        <x:v>0</x:v>
      </x:c>
      <x:c r="F361" s="18" t="n">
        <x:f>'Form Responses 1'!F361</x:f>
        <x:v>0</x:v>
      </x:c>
      <x:c r="G361" s="18" t="n">
        <x:f>'Form Responses 1'!G361</x:f>
        <x:v>0</x:v>
      </x:c>
      <x:c r="H361" s="18" t="str">
        <x:f>IF($C361="","",IFERROR(VLOOKUP($C361,Matches!$A$2:$Q$200,5,FALSE),"Unknown"))</x:f>
      </x:c>
      <x:c r="I361" s="60" t="str">
        <x:f>IF($C361="","",IFERROR(VLOOKUP($C361,Matches!$A$2:$Q$200,16,FALSE),""))</x:f>
      </x:c>
      <x:c r="J361" s="18" t="str">
        <x:f>IF($C361="","",IFERROR(VLOOKUP($C361,Matches!$A$2:$Q$200,11,FALSE),""))</x:f>
      </x:c>
      <x:c r="K361" s="18" t="str">
        <x:f>IF($C361="","",IFERROR(VLOOKUP($C361,Matches!$A$2:$Q$200,12,FALSE),""))</x:f>
      </x:c>
      <x:c r="L361" s="18" t="str">
        <x:f>IF($A361="","",IF($C361=1,"Yes",IF(OR($I361="",$A361&lt;$I361),"Yes","Late")))</x:f>
      </x:c>
      <x:c r="M361" s="66" t="str">
        <x:f>IF($A361="","",IF($L361&lt;&gt;"Yes",0,IF($E361="",0,IF($J361="",0,IF($H361="Group",IF($E361=$J361,Setup!$H$2,Setup!$H$3),IF($E361=$K361,Setup!$H$2,Setup!$H$3))))))</x:f>
      </x:c>
      <x:c r="N361" s="66" t="str">
        <x:f>IF($A361="","",IF($L361&lt;&gt;"Yes",0,IF(OR($F361="",$G361=""),0,IF(AND($F361=VLOOKUP($C361,Matches!$A$2:$Q$200,9,FALSE),$G361=VLOOKUP($C361,Matches!$A$2:$Q$200,10,FALSE)),Setup!$H$5,0))))</x:f>
      </x:c>
      <x:c r="O361" s="66" t="str">
        <x:f>IF($A361="","",$M361+$N361)</x:f>
      </x:c>
      <x:c r="P361" s="18" t="str">
        <x:f>IF($A361="","",IF($L361="Late","Late - 0 points",IF($J361="","Waiting for result",IF($O361&gt;0,"Scored",IF($O361&lt;0,"Wrong pick","No points")))))</x:f>
      </x:c>
    </x:row>
    <x:row r="362">
      <x:c r="A362" s="60" t="n">
        <x:f>'Form Responses 1'!A362</x:f>
        <x:v>0</x:v>
      </x:c>
      <x:c r="B362" s="18" t="n">
        <x:f>'Form Responses 1'!B362</x:f>
        <x:v>0</x:v>
      </x:c>
      <x:c r="C362" s="18" t="n">
        <x:f>'Form Responses 1'!C362</x:f>
        <x:v>0</x:v>
      </x:c>
      <x:c r="D362" s="18" t="n">
        <x:f>'Form Responses 1'!D362</x:f>
        <x:v>0</x:v>
      </x:c>
      <x:c r="E362" s="18" t="n">
        <x:f>'Form Responses 1'!E362</x:f>
        <x:v>0</x:v>
      </x:c>
      <x:c r="F362" s="18" t="n">
        <x:f>'Form Responses 1'!F362</x:f>
        <x:v>0</x:v>
      </x:c>
      <x:c r="G362" s="18" t="n">
        <x:f>'Form Responses 1'!G362</x:f>
        <x:v>0</x:v>
      </x:c>
      <x:c r="H362" s="18" t="str">
        <x:f>IF($C362="","",IFERROR(VLOOKUP($C362,Matches!$A$2:$Q$200,5,FALSE),"Unknown"))</x:f>
      </x:c>
      <x:c r="I362" s="60" t="str">
        <x:f>IF($C362="","",IFERROR(VLOOKUP($C362,Matches!$A$2:$Q$200,16,FALSE),""))</x:f>
      </x:c>
      <x:c r="J362" s="18" t="str">
        <x:f>IF($C362="","",IFERROR(VLOOKUP($C362,Matches!$A$2:$Q$200,11,FALSE),""))</x:f>
      </x:c>
      <x:c r="K362" s="18" t="str">
        <x:f>IF($C362="","",IFERROR(VLOOKUP($C362,Matches!$A$2:$Q$200,12,FALSE),""))</x:f>
      </x:c>
      <x:c r="L362" s="18" t="str">
        <x:f>IF($A362="","",IF($C362=1,"Yes",IF(OR($I362="",$A362&lt;$I362),"Yes","Late")))</x:f>
      </x:c>
      <x:c r="M362" s="66" t="str">
        <x:f>IF($A362="","",IF($L362&lt;&gt;"Yes",0,IF($E362="",0,IF($J362="",0,IF($H362="Group",IF($E362=$J362,Setup!$H$2,Setup!$H$3),IF($E362=$K362,Setup!$H$2,Setup!$H$3))))))</x:f>
      </x:c>
      <x:c r="N362" s="66" t="str">
        <x:f>IF($A362="","",IF($L362&lt;&gt;"Yes",0,IF(OR($F362="",$G362=""),0,IF(AND($F362=VLOOKUP($C362,Matches!$A$2:$Q$200,9,FALSE),$G362=VLOOKUP($C362,Matches!$A$2:$Q$200,10,FALSE)),Setup!$H$5,0))))</x:f>
      </x:c>
      <x:c r="O362" s="66" t="str">
        <x:f>IF($A362="","",$M362+$N362)</x:f>
      </x:c>
      <x:c r="P362" s="18" t="str">
        <x:f>IF($A362="","",IF($L362="Late","Late - 0 points",IF($J362="","Waiting for result",IF($O362&gt;0,"Scored",IF($O362&lt;0,"Wrong pick","No points")))))</x:f>
      </x:c>
    </x:row>
    <x:row r="363">
      <x:c r="A363" s="60" t="n">
        <x:f>'Form Responses 1'!A363</x:f>
        <x:v>0</x:v>
      </x:c>
      <x:c r="B363" s="18" t="n">
        <x:f>'Form Responses 1'!B363</x:f>
        <x:v>0</x:v>
      </x:c>
      <x:c r="C363" s="18" t="n">
        <x:f>'Form Responses 1'!C363</x:f>
        <x:v>0</x:v>
      </x:c>
      <x:c r="D363" s="18" t="n">
        <x:f>'Form Responses 1'!D363</x:f>
        <x:v>0</x:v>
      </x:c>
      <x:c r="E363" s="18" t="n">
        <x:f>'Form Responses 1'!E363</x:f>
        <x:v>0</x:v>
      </x:c>
      <x:c r="F363" s="18" t="n">
        <x:f>'Form Responses 1'!F363</x:f>
        <x:v>0</x:v>
      </x:c>
      <x:c r="G363" s="18" t="n">
        <x:f>'Form Responses 1'!G363</x:f>
        <x:v>0</x:v>
      </x:c>
      <x:c r="H363" s="18" t="str">
        <x:f>IF($C363="","",IFERROR(VLOOKUP($C363,Matches!$A$2:$Q$200,5,FALSE),"Unknown"))</x:f>
      </x:c>
      <x:c r="I363" s="60" t="str">
        <x:f>IF($C363="","",IFERROR(VLOOKUP($C363,Matches!$A$2:$Q$200,16,FALSE),""))</x:f>
      </x:c>
      <x:c r="J363" s="18" t="str">
        <x:f>IF($C363="","",IFERROR(VLOOKUP($C363,Matches!$A$2:$Q$200,11,FALSE),""))</x:f>
      </x:c>
      <x:c r="K363" s="18" t="str">
        <x:f>IF($C363="","",IFERROR(VLOOKUP($C363,Matches!$A$2:$Q$200,12,FALSE),""))</x:f>
      </x:c>
      <x:c r="L363" s="18" t="str">
        <x:f>IF($A363="","",IF($C363=1,"Yes",IF(OR($I363="",$A363&lt;$I363),"Yes","Late")))</x:f>
      </x:c>
      <x:c r="M363" s="66" t="str">
        <x:f>IF($A363="","",IF($L363&lt;&gt;"Yes",0,IF($E363="",0,IF($J363="",0,IF($H363="Group",IF($E363=$J363,Setup!$H$2,Setup!$H$3),IF($E363=$K363,Setup!$H$2,Setup!$H$3))))))</x:f>
      </x:c>
      <x:c r="N363" s="66" t="str">
        <x:f>IF($A363="","",IF($L363&lt;&gt;"Yes",0,IF(OR($F363="",$G363=""),0,IF(AND($F363=VLOOKUP($C363,Matches!$A$2:$Q$200,9,FALSE),$G363=VLOOKUP($C363,Matches!$A$2:$Q$200,10,FALSE)),Setup!$H$5,0))))</x:f>
      </x:c>
      <x:c r="O363" s="66" t="str">
        <x:f>IF($A363="","",$M363+$N363)</x:f>
      </x:c>
      <x:c r="P363" s="18" t="str">
        <x:f>IF($A363="","",IF($L363="Late","Late - 0 points",IF($J363="","Waiting for result",IF($O363&gt;0,"Scored",IF($O363&lt;0,"Wrong pick","No points")))))</x:f>
      </x:c>
    </x:row>
    <x:row r="364">
      <x:c r="A364" s="60" t="n">
        <x:f>'Form Responses 1'!A364</x:f>
        <x:v>0</x:v>
      </x:c>
      <x:c r="B364" s="18" t="n">
        <x:f>'Form Responses 1'!B364</x:f>
        <x:v>0</x:v>
      </x:c>
      <x:c r="C364" s="18" t="n">
        <x:f>'Form Responses 1'!C364</x:f>
        <x:v>0</x:v>
      </x:c>
      <x:c r="D364" s="18" t="n">
        <x:f>'Form Responses 1'!D364</x:f>
        <x:v>0</x:v>
      </x:c>
      <x:c r="E364" s="18" t="n">
        <x:f>'Form Responses 1'!E364</x:f>
        <x:v>0</x:v>
      </x:c>
      <x:c r="F364" s="18" t="n">
        <x:f>'Form Responses 1'!F364</x:f>
        <x:v>0</x:v>
      </x:c>
      <x:c r="G364" s="18" t="n">
        <x:f>'Form Responses 1'!G364</x:f>
        <x:v>0</x:v>
      </x:c>
      <x:c r="H364" s="18" t="str">
        <x:f>IF($C364="","",IFERROR(VLOOKUP($C364,Matches!$A$2:$Q$200,5,FALSE),"Unknown"))</x:f>
      </x:c>
      <x:c r="I364" s="60" t="str">
        <x:f>IF($C364="","",IFERROR(VLOOKUP($C364,Matches!$A$2:$Q$200,16,FALSE),""))</x:f>
      </x:c>
      <x:c r="J364" s="18" t="str">
        <x:f>IF($C364="","",IFERROR(VLOOKUP($C364,Matches!$A$2:$Q$200,11,FALSE),""))</x:f>
      </x:c>
      <x:c r="K364" s="18" t="str">
        <x:f>IF($C364="","",IFERROR(VLOOKUP($C364,Matches!$A$2:$Q$200,12,FALSE),""))</x:f>
      </x:c>
      <x:c r="L364" s="18" t="str">
        <x:f>IF($A364="","",IF($C364=1,"Yes",IF(OR($I364="",$A364&lt;$I364),"Yes","Late")))</x:f>
      </x:c>
      <x:c r="M364" s="66" t="str">
        <x:f>IF($A364="","",IF($L364&lt;&gt;"Yes",0,IF($E364="",0,IF($J364="",0,IF($H364="Group",IF($E364=$J364,Setup!$H$2,Setup!$H$3),IF($E364=$K364,Setup!$H$2,Setup!$H$3))))))</x:f>
      </x:c>
      <x:c r="N364" s="66" t="str">
        <x:f>IF($A364="","",IF($L364&lt;&gt;"Yes",0,IF(OR($F364="",$G364=""),0,IF(AND($F364=VLOOKUP($C364,Matches!$A$2:$Q$200,9,FALSE),$G364=VLOOKUP($C364,Matches!$A$2:$Q$200,10,FALSE)),Setup!$H$5,0))))</x:f>
      </x:c>
      <x:c r="O364" s="66" t="str">
        <x:f>IF($A364="","",$M364+$N364)</x:f>
      </x:c>
      <x:c r="P364" s="18" t="str">
        <x:f>IF($A364="","",IF($L364="Late","Late - 0 points",IF($J364="","Waiting for result",IF($O364&gt;0,"Scored",IF($O364&lt;0,"Wrong pick","No points")))))</x:f>
      </x:c>
    </x:row>
    <x:row r="365">
      <x:c r="A365" s="60" t="n">
        <x:f>'Form Responses 1'!A365</x:f>
        <x:v>0</x:v>
      </x:c>
      <x:c r="B365" s="18" t="n">
        <x:f>'Form Responses 1'!B365</x:f>
        <x:v>0</x:v>
      </x:c>
      <x:c r="C365" s="18" t="n">
        <x:f>'Form Responses 1'!C365</x:f>
        <x:v>0</x:v>
      </x:c>
      <x:c r="D365" s="18" t="n">
        <x:f>'Form Responses 1'!D365</x:f>
        <x:v>0</x:v>
      </x:c>
      <x:c r="E365" s="18" t="n">
        <x:f>'Form Responses 1'!E365</x:f>
        <x:v>0</x:v>
      </x:c>
      <x:c r="F365" s="18" t="n">
        <x:f>'Form Responses 1'!F365</x:f>
        <x:v>0</x:v>
      </x:c>
      <x:c r="G365" s="18" t="n">
        <x:f>'Form Responses 1'!G365</x:f>
        <x:v>0</x:v>
      </x:c>
      <x:c r="H365" s="18" t="str">
        <x:f>IF($C365="","",IFERROR(VLOOKUP($C365,Matches!$A$2:$Q$200,5,FALSE),"Unknown"))</x:f>
      </x:c>
      <x:c r="I365" s="60" t="str">
        <x:f>IF($C365="","",IFERROR(VLOOKUP($C365,Matches!$A$2:$Q$200,16,FALSE),""))</x:f>
      </x:c>
      <x:c r="J365" s="18" t="str">
        <x:f>IF($C365="","",IFERROR(VLOOKUP($C365,Matches!$A$2:$Q$200,11,FALSE),""))</x:f>
      </x:c>
      <x:c r="K365" s="18" t="str">
        <x:f>IF($C365="","",IFERROR(VLOOKUP($C365,Matches!$A$2:$Q$200,12,FALSE),""))</x:f>
      </x:c>
      <x:c r="L365" s="18" t="str">
        <x:f>IF($A365="","",IF($C365=1,"Yes",IF(OR($I365="",$A365&lt;$I365),"Yes","Late")))</x:f>
      </x:c>
      <x:c r="M365" s="66" t="str">
        <x:f>IF($A365="","",IF($L365&lt;&gt;"Yes",0,IF($E365="",0,IF($J365="",0,IF($H365="Group",IF($E365=$J365,Setup!$H$2,Setup!$H$3),IF($E365=$K365,Setup!$H$2,Setup!$H$3))))))</x:f>
      </x:c>
      <x:c r="N365" s="66" t="str">
        <x:f>IF($A365="","",IF($L365&lt;&gt;"Yes",0,IF(OR($F365="",$G365=""),0,IF(AND($F365=VLOOKUP($C365,Matches!$A$2:$Q$200,9,FALSE),$G365=VLOOKUP($C365,Matches!$A$2:$Q$200,10,FALSE)),Setup!$H$5,0))))</x:f>
      </x:c>
      <x:c r="O365" s="66" t="str">
        <x:f>IF($A365="","",$M365+$N365)</x:f>
      </x:c>
      <x:c r="P365" s="18" t="str">
        <x:f>IF($A365="","",IF($L365="Late","Late - 0 points",IF($J365="","Waiting for result",IF($O365&gt;0,"Scored",IF($O365&lt;0,"Wrong pick","No points")))))</x:f>
      </x:c>
    </x:row>
    <x:row r="366">
      <x:c r="A366" s="60" t="n">
        <x:f>'Form Responses 1'!A366</x:f>
        <x:v>0</x:v>
      </x:c>
      <x:c r="B366" s="18" t="n">
        <x:f>'Form Responses 1'!B366</x:f>
        <x:v>0</x:v>
      </x:c>
      <x:c r="C366" s="18" t="n">
        <x:f>'Form Responses 1'!C366</x:f>
        <x:v>0</x:v>
      </x:c>
      <x:c r="D366" s="18" t="n">
        <x:f>'Form Responses 1'!D366</x:f>
        <x:v>0</x:v>
      </x:c>
      <x:c r="E366" s="18" t="n">
        <x:f>'Form Responses 1'!E366</x:f>
        <x:v>0</x:v>
      </x:c>
      <x:c r="F366" s="18" t="n">
        <x:f>'Form Responses 1'!F366</x:f>
        <x:v>0</x:v>
      </x:c>
      <x:c r="G366" s="18" t="n">
        <x:f>'Form Responses 1'!G366</x:f>
        <x:v>0</x:v>
      </x:c>
      <x:c r="H366" s="18" t="str">
        <x:f>IF($C366="","",IFERROR(VLOOKUP($C366,Matches!$A$2:$Q$200,5,FALSE),"Unknown"))</x:f>
      </x:c>
      <x:c r="I366" s="60" t="str">
        <x:f>IF($C366="","",IFERROR(VLOOKUP($C366,Matches!$A$2:$Q$200,16,FALSE),""))</x:f>
      </x:c>
      <x:c r="J366" s="18" t="str">
        <x:f>IF($C366="","",IFERROR(VLOOKUP($C366,Matches!$A$2:$Q$200,11,FALSE),""))</x:f>
      </x:c>
      <x:c r="K366" s="18" t="str">
        <x:f>IF($C366="","",IFERROR(VLOOKUP($C366,Matches!$A$2:$Q$200,12,FALSE),""))</x:f>
      </x:c>
      <x:c r="L366" s="18" t="str">
        <x:f>IF($A366="","",IF($C366=1,"Yes",IF(OR($I366="",$A366&lt;$I366),"Yes","Late")))</x:f>
      </x:c>
      <x:c r="M366" s="66" t="str">
        <x:f>IF($A366="","",IF($L366&lt;&gt;"Yes",0,IF($E366="",0,IF($J366="",0,IF($H366="Group",IF($E366=$J366,Setup!$H$2,Setup!$H$3),IF($E366=$K366,Setup!$H$2,Setup!$H$3))))))</x:f>
      </x:c>
      <x:c r="N366" s="66" t="str">
        <x:f>IF($A366="","",IF($L366&lt;&gt;"Yes",0,IF(OR($F366="",$G366=""),0,IF(AND($F366=VLOOKUP($C366,Matches!$A$2:$Q$200,9,FALSE),$G366=VLOOKUP($C366,Matches!$A$2:$Q$200,10,FALSE)),Setup!$H$5,0))))</x:f>
      </x:c>
      <x:c r="O366" s="66" t="str">
        <x:f>IF($A366="","",$M366+$N366)</x:f>
      </x:c>
      <x:c r="P366" s="18" t="str">
        <x:f>IF($A366="","",IF($L366="Late","Late - 0 points",IF($J366="","Waiting for result",IF($O366&gt;0,"Scored",IF($O366&lt;0,"Wrong pick","No points")))))</x:f>
      </x:c>
    </x:row>
    <x:row r="367">
      <x:c r="A367" s="60" t="n">
        <x:f>'Form Responses 1'!A367</x:f>
        <x:v>0</x:v>
      </x:c>
      <x:c r="B367" s="18" t="n">
        <x:f>'Form Responses 1'!B367</x:f>
        <x:v>0</x:v>
      </x:c>
      <x:c r="C367" s="18" t="n">
        <x:f>'Form Responses 1'!C367</x:f>
        <x:v>0</x:v>
      </x:c>
      <x:c r="D367" s="18" t="n">
        <x:f>'Form Responses 1'!D367</x:f>
        <x:v>0</x:v>
      </x:c>
      <x:c r="E367" s="18" t="n">
        <x:f>'Form Responses 1'!E367</x:f>
        <x:v>0</x:v>
      </x:c>
      <x:c r="F367" s="18" t="n">
        <x:f>'Form Responses 1'!F367</x:f>
        <x:v>0</x:v>
      </x:c>
      <x:c r="G367" s="18" t="n">
        <x:f>'Form Responses 1'!G367</x:f>
        <x:v>0</x:v>
      </x:c>
      <x:c r="H367" s="18" t="str">
        <x:f>IF($C367="","",IFERROR(VLOOKUP($C367,Matches!$A$2:$Q$200,5,FALSE),"Unknown"))</x:f>
      </x:c>
      <x:c r="I367" s="60" t="str">
        <x:f>IF($C367="","",IFERROR(VLOOKUP($C367,Matches!$A$2:$Q$200,16,FALSE),""))</x:f>
      </x:c>
      <x:c r="J367" s="18" t="str">
        <x:f>IF($C367="","",IFERROR(VLOOKUP($C367,Matches!$A$2:$Q$200,11,FALSE),""))</x:f>
      </x:c>
      <x:c r="K367" s="18" t="str">
        <x:f>IF($C367="","",IFERROR(VLOOKUP($C367,Matches!$A$2:$Q$200,12,FALSE),""))</x:f>
      </x:c>
      <x:c r="L367" s="18" t="str">
        <x:f>IF($A367="","",IF($C367=1,"Yes",IF(OR($I367="",$A367&lt;$I367),"Yes","Late")))</x:f>
      </x:c>
      <x:c r="M367" s="66" t="str">
        <x:f>IF($A367="","",IF($L367&lt;&gt;"Yes",0,IF($E367="",0,IF($J367="",0,IF($H367="Group",IF($E367=$J367,Setup!$H$2,Setup!$H$3),IF($E367=$K367,Setup!$H$2,Setup!$H$3))))))</x:f>
      </x:c>
      <x:c r="N367" s="66" t="str">
        <x:f>IF($A367="","",IF($L367&lt;&gt;"Yes",0,IF(OR($F367="",$G367=""),0,IF(AND($F367=VLOOKUP($C367,Matches!$A$2:$Q$200,9,FALSE),$G367=VLOOKUP($C367,Matches!$A$2:$Q$200,10,FALSE)),Setup!$H$5,0))))</x:f>
      </x:c>
      <x:c r="O367" s="66" t="str">
        <x:f>IF($A367="","",$M367+$N367)</x:f>
      </x:c>
      <x:c r="P367" s="18" t="str">
        <x:f>IF($A367="","",IF($L367="Late","Late - 0 points",IF($J367="","Waiting for result",IF($O367&gt;0,"Scored",IF($O367&lt;0,"Wrong pick","No points")))))</x:f>
      </x:c>
    </x:row>
    <x:row r="368">
      <x:c r="A368" s="60" t="n">
        <x:f>'Form Responses 1'!A368</x:f>
        <x:v>0</x:v>
      </x:c>
      <x:c r="B368" s="18" t="n">
        <x:f>'Form Responses 1'!B368</x:f>
        <x:v>0</x:v>
      </x:c>
      <x:c r="C368" s="18" t="n">
        <x:f>'Form Responses 1'!C368</x:f>
        <x:v>0</x:v>
      </x:c>
      <x:c r="D368" s="18" t="n">
        <x:f>'Form Responses 1'!D368</x:f>
        <x:v>0</x:v>
      </x:c>
      <x:c r="E368" s="18" t="n">
        <x:f>'Form Responses 1'!E368</x:f>
        <x:v>0</x:v>
      </x:c>
      <x:c r="F368" s="18" t="n">
        <x:f>'Form Responses 1'!F368</x:f>
        <x:v>0</x:v>
      </x:c>
      <x:c r="G368" s="18" t="n">
        <x:f>'Form Responses 1'!G368</x:f>
        <x:v>0</x:v>
      </x:c>
      <x:c r="H368" s="18" t="str">
        <x:f>IF($C368="","",IFERROR(VLOOKUP($C368,Matches!$A$2:$Q$200,5,FALSE),"Unknown"))</x:f>
      </x:c>
      <x:c r="I368" s="60" t="str">
        <x:f>IF($C368="","",IFERROR(VLOOKUP($C368,Matches!$A$2:$Q$200,16,FALSE),""))</x:f>
      </x:c>
      <x:c r="J368" s="18" t="str">
        <x:f>IF($C368="","",IFERROR(VLOOKUP($C368,Matches!$A$2:$Q$200,11,FALSE),""))</x:f>
      </x:c>
      <x:c r="K368" s="18" t="str">
        <x:f>IF($C368="","",IFERROR(VLOOKUP($C368,Matches!$A$2:$Q$200,12,FALSE),""))</x:f>
      </x:c>
      <x:c r="L368" s="18" t="str">
        <x:f>IF($A368="","",IF($C368=1,"Yes",IF(OR($I368="",$A368&lt;$I368),"Yes","Late")))</x:f>
      </x:c>
      <x:c r="M368" s="66" t="str">
        <x:f>IF($A368="","",IF($L368&lt;&gt;"Yes",0,IF($E368="",0,IF($J368="",0,IF($H368="Group",IF($E368=$J368,Setup!$H$2,Setup!$H$3),IF($E368=$K368,Setup!$H$2,Setup!$H$3))))))</x:f>
      </x:c>
      <x:c r="N368" s="66" t="str">
        <x:f>IF($A368="","",IF($L368&lt;&gt;"Yes",0,IF(OR($F368="",$G368=""),0,IF(AND($F368=VLOOKUP($C368,Matches!$A$2:$Q$200,9,FALSE),$G368=VLOOKUP($C368,Matches!$A$2:$Q$200,10,FALSE)),Setup!$H$5,0))))</x:f>
      </x:c>
      <x:c r="O368" s="66" t="str">
        <x:f>IF($A368="","",$M368+$N368)</x:f>
      </x:c>
      <x:c r="P368" s="18" t="str">
        <x:f>IF($A368="","",IF($L368="Late","Late - 0 points",IF($J368="","Waiting for result",IF($O368&gt;0,"Scored",IF($O368&lt;0,"Wrong pick","No points")))))</x:f>
      </x:c>
    </x:row>
    <x:row r="369">
      <x:c r="A369" s="60" t="n">
        <x:f>'Form Responses 1'!A369</x:f>
        <x:v>0</x:v>
      </x:c>
      <x:c r="B369" s="18" t="n">
        <x:f>'Form Responses 1'!B369</x:f>
        <x:v>0</x:v>
      </x:c>
      <x:c r="C369" s="18" t="n">
        <x:f>'Form Responses 1'!C369</x:f>
        <x:v>0</x:v>
      </x:c>
      <x:c r="D369" s="18" t="n">
        <x:f>'Form Responses 1'!D369</x:f>
        <x:v>0</x:v>
      </x:c>
      <x:c r="E369" s="18" t="n">
        <x:f>'Form Responses 1'!E369</x:f>
        <x:v>0</x:v>
      </x:c>
      <x:c r="F369" s="18" t="n">
        <x:f>'Form Responses 1'!F369</x:f>
        <x:v>0</x:v>
      </x:c>
      <x:c r="G369" s="18" t="n">
        <x:f>'Form Responses 1'!G369</x:f>
        <x:v>0</x:v>
      </x:c>
      <x:c r="H369" s="18" t="str">
        <x:f>IF($C369="","",IFERROR(VLOOKUP($C369,Matches!$A$2:$Q$200,5,FALSE),"Unknown"))</x:f>
      </x:c>
      <x:c r="I369" s="60" t="str">
        <x:f>IF($C369="","",IFERROR(VLOOKUP($C369,Matches!$A$2:$Q$200,16,FALSE),""))</x:f>
      </x:c>
      <x:c r="J369" s="18" t="str">
        <x:f>IF($C369="","",IFERROR(VLOOKUP($C369,Matches!$A$2:$Q$200,11,FALSE),""))</x:f>
      </x:c>
      <x:c r="K369" s="18" t="str">
        <x:f>IF($C369="","",IFERROR(VLOOKUP($C369,Matches!$A$2:$Q$200,12,FALSE),""))</x:f>
      </x:c>
      <x:c r="L369" s="18" t="str">
        <x:f>IF($A369="","",IF($C369=1,"Yes",IF(OR($I369="",$A369&lt;$I369),"Yes","Late")))</x:f>
      </x:c>
      <x:c r="M369" s="66" t="str">
        <x:f>IF($A369="","",IF($L369&lt;&gt;"Yes",0,IF($E369="",0,IF($J369="",0,IF($H369="Group",IF($E369=$J369,Setup!$H$2,Setup!$H$3),IF($E369=$K369,Setup!$H$2,Setup!$H$3))))))</x:f>
      </x:c>
      <x:c r="N369" s="66" t="str">
        <x:f>IF($A369="","",IF($L369&lt;&gt;"Yes",0,IF(OR($F369="",$G369=""),0,IF(AND($F369=VLOOKUP($C369,Matches!$A$2:$Q$200,9,FALSE),$G369=VLOOKUP($C369,Matches!$A$2:$Q$200,10,FALSE)),Setup!$H$5,0))))</x:f>
      </x:c>
      <x:c r="O369" s="66" t="str">
        <x:f>IF($A369="","",$M369+$N369)</x:f>
      </x:c>
      <x:c r="P369" s="18" t="str">
        <x:f>IF($A369="","",IF($L369="Late","Late - 0 points",IF($J369="","Waiting for result",IF($O369&gt;0,"Scored",IF($O369&lt;0,"Wrong pick","No points")))))</x:f>
      </x:c>
    </x:row>
    <x:row r="370">
      <x:c r="A370" s="60" t="n">
        <x:f>'Form Responses 1'!A370</x:f>
        <x:v>0</x:v>
      </x:c>
      <x:c r="B370" s="18" t="n">
        <x:f>'Form Responses 1'!B370</x:f>
        <x:v>0</x:v>
      </x:c>
      <x:c r="C370" s="18" t="n">
        <x:f>'Form Responses 1'!C370</x:f>
        <x:v>0</x:v>
      </x:c>
      <x:c r="D370" s="18" t="n">
        <x:f>'Form Responses 1'!D370</x:f>
        <x:v>0</x:v>
      </x:c>
      <x:c r="E370" s="18" t="n">
        <x:f>'Form Responses 1'!E370</x:f>
        <x:v>0</x:v>
      </x:c>
      <x:c r="F370" s="18" t="n">
        <x:f>'Form Responses 1'!F370</x:f>
        <x:v>0</x:v>
      </x:c>
      <x:c r="G370" s="18" t="n">
        <x:f>'Form Responses 1'!G370</x:f>
        <x:v>0</x:v>
      </x:c>
      <x:c r="H370" s="18" t="str">
        <x:f>IF($C370="","",IFERROR(VLOOKUP($C370,Matches!$A$2:$Q$200,5,FALSE),"Unknown"))</x:f>
      </x:c>
      <x:c r="I370" s="60" t="str">
        <x:f>IF($C370="","",IFERROR(VLOOKUP($C370,Matches!$A$2:$Q$200,16,FALSE),""))</x:f>
      </x:c>
      <x:c r="J370" s="18" t="str">
        <x:f>IF($C370="","",IFERROR(VLOOKUP($C370,Matches!$A$2:$Q$200,11,FALSE),""))</x:f>
      </x:c>
      <x:c r="K370" s="18" t="str">
        <x:f>IF($C370="","",IFERROR(VLOOKUP($C370,Matches!$A$2:$Q$200,12,FALSE),""))</x:f>
      </x:c>
      <x:c r="L370" s="18" t="str">
        <x:f>IF($A370="","",IF($C370=1,"Yes",IF(OR($I370="",$A370&lt;$I370),"Yes","Late")))</x:f>
      </x:c>
      <x:c r="M370" s="66" t="str">
        <x:f>IF($A370="","",IF($L370&lt;&gt;"Yes",0,IF($E370="",0,IF($J370="",0,IF($H370="Group",IF($E370=$J370,Setup!$H$2,Setup!$H$3),IF($E370=$K370,Setup!$H$2,Setup!$H$3))))))</x:f>
      </x:c>
      <x:c r="N370" s="66" t="str">
        <x:f>IF($A370="","",IF($L370&lt;&gt;"Yes",0,IF(OR($F370="",$G370=""),0,IF(AND($F370=VLOOKUP($C370,Matches!$A$2:$Q$200,9,FALSE),$G370=VLOOKUP($C370,Matches!$A$2:$Q$200,10,FALSE)),Setup!$H$5,0))))</x:f>
      </x:c>
      <x:c r="O370" s="66" t="str">
        <x:f>IF($A370="","",$M370+$N370)</x:f>
      </x:c>
      <x:c r="P370" s="18" t="str">
        <x:f>IF($A370="","",IF($L370="Late","Late - 0 points",IF($J370="","Waiting for result",IF($O370&gt;0,"Scored",IF($O370&lt;0,"Wrong pick","No points")))))</x:f>
      </x:c>
    </x:row>
    <x:row r="371">
      <x:c r="A371" s="60" t="n">
        <x:f>'Form Responses 1'!A371</x:f>
        <x:v>0</x:v>
      </x:c>
      <x:c r="B371" s="18" t="n">
        <x:f>'Form Responses 1'!B371</x:f>
        <x:v>0</x:v>
      </x:c>
      <x:c r="C371" s="18" t="n">
        <x:f>'Form Responses 1'!C371</x:f>
        <x:v>0</x:v>
      </x:c>
      <x:c r="D371" s="18" t="n">
        <x:f>'Form Responses 1'!D371</x:f>
        <x:v>0</x:v>
      </x:c>
      <x:c r="E371" s="18" t="n">
        <x:f>'Form Responses 1'!E371</x:f>
        <x:v>0</x:v>
      </x:c>
      <x:c r="F371" s="18" t="n">
        <x:f>'Form Responses 1'!F371</x:f>
        <x:v>0</x:v>
      </x:c>
      <x:c r="G371" s="18" t="n">
        <x:f>'Form Responses 1'!G371</x:f>
        <x:v>0</x:v>
      </x:c>
      <x:c r="H371" s="18" t="str">
        <x:f>IF($C371="","",IFERROR(VLOOKUP($C371,Matches!$A$2:$Q$200,5,FALSE),"Unknown"))</x:f>
      </x:c>
      <x:c r="I371" s="60" t="str">
        <x:f>IF($C371="","",IFERROR(VLOOKUP($C371,Matches!$A$2:$Q$200,16,FALSE),""))</x:f>
      </x:c>
      <x:c r="J371" s="18" t="str">
        <x:f>IF($C371="","",IFERROR(VLOOKUP($C371,Matches!$A$2:$Q$200,11,FALSE),""))</x:f>
      </x:c>
      <x:c r="K371" s="18" t="str">
        <x:f>IF($C371="","",IFERROR(VLOOKUP($C371,Matches!$A$2:$Q$200,12,FALSE),""))</x:f>
      </x:c>
      <x:c r="L371" s="18" t="str">
        <x:f>IF($A371="","",IF($C371=1,"Yes",IF(OR($I371="",$A371&lt;$I371),"Yes","Late")))</x:f>
      </x:c>
      <x:c r="M371" s="66" t="str">
        <x:f>IF($A371="","",IF($L371&lt;&gt;"Yes",0,IF($E371="",0,IF($J371="",0,IF($H371="Group",IF($E371=$J371,Setup!$H$2,Setup!$H$3),IF($E371=$K371,Setup!$H$2,Setup!$H$3))))))</x:f>
      </x:c>
      <x:c r="N371" s="66" t="str">
        <x:f>IF($A371="","",IF($L371&lt;&gt;"Yes",0,IF(OR($F371="",$G371=""),0,IF(AND($F371=VLOOKUP($C371,Matches!$A$2:$Q$200,9,FALSE),$G371=VLOOKUP($C371,Matches!$A$2:$Q$200,10,FALSE)),Setup!$H$5,0))))</x:f>
      </x:c>
      <x:c r="O371" s="66" t="str">
        <x:f>IF($A371="","",$M371+$N371)</x:f>
      </x:c>
      <x:c r="P371" s="18" t="str">
        <x:f>IF($A371="","",IF($L371="Late","Late - 0 points",IF($J371="","Waiting for result",IF($O371&gt;0,"Scored",IF($O371&lt;0,"Wrong pick","No points")))))</x:f>
      </x:c>
    </x:row>
    <x:row r="372">
      <x:c r="A372" s="60" t="n">
        <x:f>'Form Responses 1'!A372</x:f>
        <x:v>0</x:v>
      </x:c>
      <x:c r="B372" s="18" t="n">
        <x:f>'Form Responses 1'!B372</x:f>
        <x:v>0</x:v>
      </x:c>
      <x:c r="C372" s="18" t="n">
        <x:f>'Form Responses 1'!C372</x:f>
        <x:v>0</x:v>
      </x:c>
      <x:c r="D372" s="18" t="n">
        <x:f>'Form Responses 1'!D372</x:f>
        <x:v>0</x:v>
      </x:c>
      <x:c r="E372" s="18" t="n">
        <x:f>'Form Responses 1'!E372</x:f>
        <x:v>0</x:v>
      </x:c>
      <x:c r="F372" s="18" t="n">
        <x:f>'Form Responses 1'!F372</x:f>
        <x:v>0</x:v>
      </x:c>
      <x:c r="G372" s="18" t="n">
        <x:f>'Form Responses 1'!G372</x:f>
        <x:v>0</x:v>
      </x:c>
      <x:c r="H372" s="18" t="str">
        <x:f>IF($C372="","",IFERROR(VLOOKUP($C372,Matches!$A$2:$Q$200,5,FALSE),"Unknown"))</x:f>
      </x:c>
      <x:c r="I372" s="60" t="str">
        <x:f>IF($C372="","",IFERROR(VLOOKUP($C372,Matches!$A$2:$Q$200,16,FALSE),""))</x:f>
      </x:c>
      <x:c r="J372" s="18" t="str">
        <x:f>IF($C372="","",IFERROR(VLOOKUP($C372,Matches!$A$2:$Q$200,11,FALSE),""))</x:f>
      </x:c>
      <x:c r="K372" s="18" t="str">
        <x:f>IF($C372="","",IFERROR(VLOOKUP($C372,Matches!$A$2:$Q$200,12,FALSE),""))</x:f>
      </x:c>
      <x:c r="L372" s="18" t="str">
        <x:f>IF($A372="","",IF($C372=1,"Yes",IF(OR($I372="",$A372&lt;$I372),"Yes","Late")))</x:f>
      </x:c>
      <x:c r="M372" s="66" t="str">
        <x:f>IF($A372="","",IF($L372&lt;&gt;"Yes",0,IF($E372="",0,IF($J372="",0,IF($H372="Group",IF($E372=$J372,Setup!$H$2,Setup!$H$3),IF($E372=$K372,Setup!$H$2,Setup!$H$3))))))</x:f>
      </x:c>
      <x:c r="N372" s="66" t="str">
        <x:f>IF($A372="","",IF($L372&lt;&gt;"Yes",0,IF(OR($F372="",$G372=""),0,IF(AND($F372=VLOOKUP($C372,Matches!$A$2:$Q$200,9,FALSE),$G372=VLOOKUP($C372,Matches!$A$2:$Q$200,10,FALSE)),Setup!$H$5,0))))</x:f>
      </x:c>
      <x:c r="O372" s="66" t="str">
        <x:f>IF($A372="","",$M372+$N372)</x:f>
      </x:c>
      <x:c r="P372" s="18" t="str">
        <x:f>IF($A372="","",IF($L372="Late","Late - 0 points",IF($J372="","Waiting for result",IF($O372&gt;0,"Scored",IF($O372&lt;0,"Wrong pick","No points")))))</x:f>
      </x:c>
    </x:row>
    <x:row r="373">
      <x:c r="A373" s="60" t="n">
        <x:f>'Form Responses 1'!A373</x:f>
        <x:v>0</x:v>
      </x:c>
      <x:c r="B373" s="18" t="n">
        <x:f>'Form Responses 1'!B373</x:f>
        <x:v>0</x:v>
      </x:c>
      <x:c r="C373" s="18" t="n">
        <x:f>'Form Responses 1'!C373</x:f>
        <x:v>0</x:v>
      </x:c>
      <x:c r="D373" s="18" t="n">
        <x:f>'Form Responses 1'!D373</x:f>
        <x:v>0</x:v>
      </x:c>
      <x:c r="E373" s="18" t="n">
        <x:f>'Form Responses 1'!E373</x:f>
        <x:v>0</x:v>
      </x:c>
      <x:c r="F373" s="18" t="n">
        <x:f>'Form Responses 1'!F373</x:f>
        <x:v>0</x:v>
      </x:c>
      <x:c r="G373" s="18" t="n">
        <x:f>'Form Responses 1'!G373</x:f>
        <x:v>0</x:v>
      </x:c>
      <x:c r="H373" s="18" t="str">
        <x:f>IF($C373="","",IFERROR(VLOOKUP($C373,Matches!$A$2:$Q$200,5,FALSE),"Unknown"))</x:f>
      </x:c>
      <x:c r="I373" s="60" t="str">
        <x:f>IF($C373="","",IFERROR(VLOOKUP($C373,Matches!$A$2:$Q$200,16,FALSE),""))</x:f>
      </x:c>
      <x:c r="J373" s="18" t="str">
        <x:f>IF($C373="","",IFERROR(VLOOKUP($C373,Matches!$A$2:$Q$200,11,FALSE),""))</x:f>
      </x:c>
      <x:c r="K373" s="18" t="str">
        <x:f>IF($C373="","",IFERROR(VLOOKUP($C373,Matches!$A$2:$Q$200,12,FALSE),""))</x:f>
      </x:c>
      <x:c r="L373" s="18" t="str">
        <x:f>IF($A373="","",IF($C373=1,"Yes",IF(OR($I373="",$A373&lt;$I373),"Yes","Late")))</x:f>
      </x:c>
      <x:c r="M373" s="66" t="str">
        <x:f>IF($A373="","",IF($L373&lt;&gt;"Yes",0,IF($E373="",0,IF($J373="",0,IF($H373="Group",IF($E373=$J373,Setup!$H$2,Setup!$H$3),IF($E373=$K373,Setup!$H$2,Setup!$H$3))))))</x:f>
      </x:c>
      <x:c r="N373" s="66" t="str">
        <x:f>IF($A373="","",IF($L373&lt;&gt;"Yes",0,IF(OR($F373="",$G373=""),0,IF(AND($F373=VLOOKUP($C373,Matches!$A$2:$Q$200,9,FALSE),$G373=VLOOKUP($C373,Matches!$A$2:$Q$200,10,FALSE)),Setup!$H$5,0))))</x:f>
      </x:c>
      <x:c r="O373" s="66" t="str">
        <x:f>IF($A373="","",$M373+$N373)</x:f>
      </x:c>
      <x:c r="P373" s="18" t="str">
        <x:f>IF($A373="","",IF($L373="Late","Late - 0 points",IF($J373="","Waiting for result",IF($O373&gt;0,"Scored",IF($O373&lt;0,"Wrong pick","No points")))))</x:f>
      </x:c>
    </x:row>
    <x:row r="374">
      <x:c r="A374" s="60" t="n">
        <x:f>'Form Responses 1'!A374</x:f>
        <x:v>0</x:v>
      </x:c>
      <x:c r="B374" s="18" t="n">
        <x:f>'Form Responses 1'!B374</x:f>
        <x:v>0</x:v>
      </x:c>
      <x:c r="C374" s="18" t="n">
        <x:f>'Form Responses 1'!C374</x:f>
        <x:v>0</x:v>
      </x:c>
      <x:c r="D374" s="18" t="n">
        <x:f>'Form Responses 1'!D374</x:f>
        <x:v>0</x:v>
      </x:c>
      <x:c r="E374" s="18" t="n">
        <x:f>'Form Responses 1'!E374</x:f>
        <x:v>0</x:v>
      </x:c>
      <x:c r="F374" s="18" t="n">
        <x:f>'Form Responses 1'!F374</x:f>
        <x:v>0</x:v>
      </x:c>
      <x:c r="G374" s="18" t="n">
        <x:f>'Form Responses 1'!G374</x:f>
        <x:v>0</x:v>
      </x:c>
      <x:c r="H374" s="18" t="str">
        <x:f>IF($C374="","",IFERROR(VLOOKUP($C374,Matches!$A$2:$Q$200,5,FALSE),"Unknown"))</x:f>
      </x:c>
      <x:c r="I374" s="60" t="str">
        <x:f>IF($C374="","",IFERROR(VLOOKUP($C374,Matches!$A$2:$Q$200,16,FALSE),""))</x:f>
      </x:c>
      <x:c r="J374" s="18" t="str">
        <x:f>IF($C374="","",IFERROR(VLOOKUP($C374,Matches!$A$2:$Q$200,11,FALSE),""))</x:f>
      </x:c>
      <x:c r="K374" s="18" t="str">
        <x:f>IF($C374="","",IFERROR(VLOOKUP($C374,Matches!$A$2:$Q$200,12,FALSE),""))</x:f>
      </x:c>
      <x:c r="L374" s="18" t="str">
        <x:f>IF($A374="","",IF($C374=1,"Yes",IF(OR($I374="",$A374&lt;$I374),"Yes","Late")))</x:f>
      </x:c>
      <x:c r="M374" s="66" t="str">
        <x:f>IF($A374="","",IF($L374&lt;&gt;"Yes",0,IF($E374="",0,IF($J374="",0,IF($H374="Group",IF($E374=$J374,Setup!$H$2,Setup!$H$3),IF($E374=$K374,Setup!$H$2,Setup!$H$3))))))</x:f>
      </x:c>
      <x:c r="N374" s="66" t="str">
        <x:f>IF($A374="","",IF($L374&lt;&gt;"Yes",0,IF(OR($F374="",$G374=""),0,IF(AND($F374=VLOOKUP($C374,Matches!$A$2:$Q$200,9,FALSE),$G374=VLOOKUP($C374,Matches!$A$2:$Q$200,10,FALSE)),Setup!$H$5,0))))</x:f>
      </x:c>
      <x:c r="O374" s="66" t="str">
        <x:f>IF($A374="","",$M374+$N374)</x:f>
      </x:c>
      <x:c r="P374" s="18" t="str">
        <x:f>IF($A374="","",IF($L374="Late","Late - 0 points",IF($J374="","Waiting for result",IF($O374&gt;0,"Scored",IF($O374&lt;0,"Wrong pick","No points")))))</x:f>
      </x:c>
    </x:row>
    <x:row r="375">
      <x:c r="A375" s="60" t="n">
        <x:f>'Form Responses 1'!A375</x:f>
        <x:v>0</x:v>
      </x:c>
      <x:c r="B375" s="18" t="n">
        <x:f>'Form Responses 1'!B375</x:f>
        <x:v>0</x:v>
      </x:c>
      <x:c r="C375" s="18" t="n">
        <x:f>'Form Responses 1'!C375</x:f>
        <x:v>0</x:v>
      </x:c>
      <x:c r="D375" s="18" t="n">
        <x:f>'Form Responses 1'!D375</x:f>
        <x:v>0</x:v>
      </x:c>
      <x:c r="E375" s="18" t="n">
        <x:f>'Form Responses 1'!E375</x:f>
        <x:v>0</x:v>
      </x:c>
      <x:c r="F375" s="18" t="n">
        <x:f>'Form Responses 1'!F375</x:f>
        <x:v>0</x:v>
      </x:c>
      <x:c r="G375" s="18" t="n">
        <x:f>'Form Responses 1'!G375</x:f>
        <x:v>0</x:v>
      </x:c>
      <x:c r="H375" s="18" t="str">
        <x:f>IF($C375="","",IFERROR(VLOOKUP($C375,Matches!$A$2:$Q$200,5,FALSE),"Unknown"))</x:f>
      </x:c>
      <x:c r="I375" s="60" t="str">
        <x:f>IF($C375="","",IFERROR(VLOOKUP($C375,Matches!$A$2:$Q$200,16,FALSE),""))</x:f>
      </x:c>
      <x:c r="J375" s="18" t="str">
        <x:f>IF($C375="","",IFERROR(VLOOKUP($C375,Matches!$A$2:$Q$200,11,FALSE),""))</x:f>
      </x:c>
      <x:c r="K375" s="18" t="str">
        <x:f>IF($C375="","",IFERROR(VLOOKUP($C375,Matches!$A$2:$Q$200,12,FALSE),""))</x:f>
      </x:c>
      <x:c r="L375" s="18" t="str">
        <x:f>IF($A375="","",IF($C375=1,"Yes",IF(OR($I375="",$A375&lt;$I375),"Yes","Late")))</x:f>
      </x:c>
      <x:c r="M375" s="66" t="str">
        <x:f>IF($A375="","",IF($L375&lt;&gt;"Yes",0,IF($E375="",0,IF($J375="",0,IF($H375="Group",IF($E375=$J375,Setup!$H$2,Setup!$H$3),IF($E375=$K375,Setup!$H$2,Setup!$H$3))))))</x:f>
      </x:c>
      <x:c r="N375" s="66" t="str">
        <x:f>IF($A375="","",IF($L375&lt;&gt;"Yes",0,IF(OR($F375="",$G375=""),0,IF(AND($F375=VLOOKUP($C375,Matches!$A$2:$Q$200,9,FALSE),$G375=VLOOKUP($C375,Matches!$A$2:$Q$200,10,FALSE)),Setup!$H$5,0))))</x:f>
      </x:c>
      <x:c r="O375" s="66" t="str">
        <x:f>IF($A375="","",$M375+$N375)</x:f>
      </x:c>
      <x:c r="P375" s="18" t="str">
        <x:f>IF($A375="","",IF($L375="Late","Late - 0 points",IF($J375="","Waiting for result",IF($O375&gt;0,"Scored",IF($O375&lt;0,"Wrong pick","No points")))))</x:f>
      </x:c>
    </x:row>
    <x:row r="376">
      <x:c r="A376" s="60" t="n">
        <x:f>'Form Responses 1'!A376</x:f>
        <x:v>0</x:v>
      </x:c>
      <x:c r="B376" s="18" t="n">
        <x:f>'Form Responses 1'!B376</x:f>
        <x:v>0</x:v>
      </x:c>
      <x:c r="C376" s="18" t="n">
        <x:f>'Form Responses 1'!C376</x:f>
        <x:v>0</x:v>
      </x:c>
      <x:c r="D376" s="18" t="n">
        <x:f>'Form Responses 1'!D376</x:f>
        <x:v>0</x:v>
      </x:c>
      <x:c r="E376" s="18" t="n">
        <x:f>'Form Responses 1'!E376</x:f>
        <x:v>0</x:v>
      </x:c>
      <x:c r="F376" s="18" t="n">
        <x:f>'Form Responses 1'!F376</x:f>
        <x:v>0</x:v>
      </x:c>
      <x:c r="G376" s="18" t="n">
        <x:f>'Form Responses 1'!G376</x:f>
        <x:v>0</x:v>
      </x:c>
      <x:c r="H376" s="18" t="str">
        <x:f>IF($C376="","",IFERROR(VLOOKUP($C376,Matches!$A$2:$Q$200,5,FALSE),"Unknown"))</x:f>
      </x:c>
      <x:c r="I376" s="60" t="str">
        <x:f>IF($C376="","",IFERROR(VLOOKUP($C376,Matches!$A$2:$Q$200,16,FALSE),""))</x:f>
      </x:c>
      <x:c r="J376" s="18" t="str">
        <x:f>IF($C376="","",IFERROR(VLOOKUP($C376,Matches!$A$2:$Q$200,11,FALSE),""))</x:f>
      </x:c>
      <x:c r="K376" s="18" t="str">
        <x:f>IF($C376="","",IFERROR(VLOOKUP($C376,Matches!$A$2:$Q$200,12,FALSE),""))</x:f>
      </x:c>
      <x:c r="L376" s="18" t="str">
        <x:f>IF($A376="","",IF($C376=1,"Yes",IF(OR($I376="",$A376&lt;$I376),"Yes","Late")))</x:f>
      </x:c>
      <x:c r="M376" s="66" t="str">
        <x:f>IF($A376="","",IF($L376&lt;&gt;"Yes",0,IF($E376="",0,IF($J376="",0,IF($H376="Group",IF($E376=$J376,Setup!$H$2,Setup!$H$3),IF($E376=$K376,Setup!$H$2,Setup!$H$3))))))</x:f>
      </x:c>
      <x:c r="N376" s="66" t="str">
        <x:f>IF($A376="","",IF($L376&lt;&gt;"Yes",0,IF(OR($F376="",$G376=""),0,IF(AND($F376=VLOOKUP($C376,Matches!$A$2:$Q$200,9,FALSE),$G376=VLOOKUP($C376,Matches!$A$2:$Q$200,10,FALSE)),Setup!$H$5,0))))</x:f>
      </x:c>
      <x:c r="O376" s="66" t="str">
        <x:f>IF($A376="","",$M376+$N376)</x:f>
      </x:c>
      <x:c r="P376" s="18" t="str">
        <x:f>IF($A376="","",IF($L376="Late","Late - 0 points",IF($J376="","Waiting for result",IF($O376&gt;0,"Scored",IF($O376&lt;0,"Wrong pick","No points")))))</x:f>
      </x:c>
    </x:row>
    <x:row r="377">
      <x:c r="A377" s="60" t="n">
        <x:f>'Form Responses 1'!A377</x:f>
        <x:v>0</x:v>
      </x:c>
      <x:c r="B377" s="18" t="n">
        <x:f>'Form Responses 1'!B377</x:f>
        <x:v>0</x:v>
      </x:c>
      <x:c r="C377" s="18" t="n">
        <x:f>'Form Responses 1'!C377</x:f>
        <x:v>0</x:v>
      </x:c>
      <x:c r="D377" s="18" t="n">
        <x:f>'Form Responses 1'!D377</x:f>
        <x:v>0</x:v>
      </x:c>
      <x:c r="E377" s="18" t="n">
        <x:f>'Form Responses 1'!E377</x:f>
        <x:v>0</x:v>
      </x:c>
      <x:c r="F377" s="18" t="n">
        <x:f>'Form Responses 1'!F377</x:f>
        <x:v>0</x:v>
      </x:c>
      <x:c r="G377" s="18" t="n">
        <x:f>'Form Responses 1'!G377</x:f>
        <x:v>0</x:v>
      </x:c>
      <x:c r="H377" s="18" t="str">
        <x:f>IF($C377="","",IFERROR(VLOOKUP($C377,Matches!$A$2:$Q$200,5,FALSE),"Unknown"))</x:f>
      </x:c>
      <x:c r="I377" s="60" t="str">
        <x:f>IF($C377="","",IFERROR(VLOOKUP($C377,Matches!$A$2:$Q$200,16,FALSE),""))</x:f>
      </x:c>
      <x:c r="J377" s="18" t="str">
        <x:f>IF($C377="","",IFERROR(VLOOKUP($C377,Matches!$A$2:$Q$200,11,FALSE),""))</x:f>
      </x:c>
      <x:c r="K377" s="18" t="str">
        <x:f>IF($C377="","",IFERROR(VLOOKUP($C377,Matches!$A$2:$Q$200,12,FALSE),""))</x:f>
      </x:c>
      <x:c r="L377" s="18" t="str">
        <x:f>IF($A377="","",IF($C377=1,"Yes",IF(OR($I377="",$A377&lt;$I377),"Yes","Late")))</x:f>
      </x:c>
      <x:c r="M377" s="66" t="str">
        <x:f>IF($A377="","",IF($L377&lt;&gt;"Yes",0,IF($E377="",0,IF($J377="",0,IF($H377="Group",IF($E377=$J377,Setup!$H$2,Setup!$H$3),IF($E377=$K377,Setup!$H$2,Setup!$H$3))))))</x:f>
      </x:c>
      <x:c r="N377" s="66" t="str">
        <x:f>IF($A377="","",IF($L377&lt;&gt;"Yes",0,IF(OR($F377="",$G377=""),0,IF(AND($F377=VLOOKUP($C377,Matches!$A$2:$Q$200,9,FALSE),$G377=VLOOKUP($C377,Matches!$A$2:$Q$200,10,FALSE)),Setup!$H$5,0))))</x:f>
      </x:c>
      <x:c r="O377" s="66" t="str">
        <x:f>IF($A377="","",$M377+$N377)</x:f>
      </x:c>
      <x:c r="P377" s="18" t="str">
        <x:f>IF($A377="","",IF($L377="Late","Late - 0 points",IF($J377="","Waiting for result",IF($O377&gt;0,"Scored",IF($O377&lt;0,"Wrong pick","No points")))))</x:f>
      </x:c>
    </x:row>
    <x:row r="378">
      <x:c r="A378" s="60" t="n">
        <x:f>'Form Responses 1'!A378</x:f>
        <x:v>0</x:v>
      </x:c>
      <x:c r="B378" s="18" t="n">
        <x:f>'Form Responses 1'!B378</x:f>
        <x:v>0</x:v>
      </x:c>
      <x:c r="C378" s="18" t="n">
        <x:f>'Form Responses 1'!C378</x:f>
        <x:v>0</x:v>
      </x:c>
      <x:c r="D378" s="18" t="n">
        <x:f>'Form Responses 1'!D378</x:f>
        <x:v>0</x:v>
      </x:c>
      <x:c r="E378" s="18" t="n">
        <x:f>'Form Responses 1'!E378</x:f>
        <x:v>0</x:v>
      </x:c>
      <x:c r="F378" s="18" t="n">
        <x:f>'Form Responses 1'!F378</x:f>
        <x:v>0</x:v>
      </x:c>
      <x:c r="G378" s="18" t="n">
        <x:f>'Form Responses 1'!G378</x:f>
        <x:v>0</x:v>
      </x:c>
      <x:c r="H378" s="18" t="str">
        <x:f>IF($C378="","",IFERROR(VLOOKUP($C378,Matches!$A$2:$Q$200,5,FALSE),"Unknown"))</x:f>
      </x:c>
      <x:c r="I378" s="60" t="str">
        <x:f>IF($C378="","",IFERROR(VLOOKUP($C378,Matches!$A$2:$Q$200,16,FALSE),""))</x:f>
      </x:c>
      <x:c r="J378" s="18" t="str">
        <x:f>IF($C378="","",IFERROR(VLOOKUP($C378,Matches!$A$2:$Q$200,11,FALSE),""))</x:f>
      </x:c>
      <x:c r="K378" s="18" t="str">
        <x:f>IF($C378="","",IFERROR(VLOOKUP($C378,Matches!$A$2:$Q$200,12,FALSE),""))</x:f>
      </x:c>
      <x:c r="L378" s="18" t="str">
        <x:f>IF($A378="","",IF($C378=1,"Yes",IF(OR($I378="",$A378&lt;$I378),"Yes","Late")))</x:f>
      </x:c>
      <x:c r="M378" s="66" t="str">
        <x:f>IF($A378="","",IF($L378&lt;&gt;"Yes",0,IF($E378="",0,IF($J378="",0,IF($H378="Group",IF($E378=$J378,Setup!$H$2,Setup!$H$3),IF($E378=$K378,Setup!$H$2,Setup!$H$3))))))</x:f>
      </x:c>
      <x:c r="N378" s="66" t="str">
        <x:f>IF($A378="","",IF($L378&lt;&gt;"Yes",0,IF(OR($F378="",$G378=""),0,IF(AND($F378=VLOOKUP($C378,Matches!$A$2:$Q$200,9,FALSE),$G378=VLOOKUP($C378,Matches!$A$2:$Q$200,10,FALSE)),Setup!$H$5,0))))</x:f>
      </x:c>
      <x:c r="O378" s="66" t="str">
        <x:f>IF($A378="","",$M378+$N378)</x:f>
      </x:c>
      <x:c r="P378" s="18" t="str">
        <x:f>IF($A378="","",IF($L378="Late","Late - 0 points",IF($J378="","Waiting for result",IF($O378&gt;0,"Scored",IF($O378&lt;0,"Wrong pick","No points")))))</x:f>
      </x:c>
    </x:row>
    <x:row r="379">
      <x:c r="A379" s="60" t="n">
        <x:f>'Form Responses 1'!A379</x:f>
        <x:v>0</x:v>
      </x:c>
      <x:c r="B379" s="18" t="n">
        <x:f>'Form Responses 1'!B379</x:f>
        <x:v>0</x:v>
      </x:c>
      <x:c r="C379" s="18" t="n">
        <x:f>'Form Responses 1'!C379</x:f>
        <x:v>0</x:v>
      </x:c>
      <x:c r="D379" s="18" t="n">
        <x:f>'Form Responses 1'!D379</x:f>
        <x:v>0</x:v>
      </x:c>
      <x:c r="E379" s="18" t="n">
        <x:f>'Form Responses 1'!E379</x:f>
        <x:v>0</x:v>
      </x:c>
      <x:c r="F379" s="18" t="n">
        <x:f>'Form Responses 1'!F379</x:f>
        <x:v>0</x:v>
      </x:c>
      <x:c r="G379" s="18" t="n">
        <x:f>'Form Responses 1'!G379</x:f>
        <x:v>0</x:v>
      </x:c>
      <x:c r="H379" s="18" t="str">
        <x:f>IF($C379="","",IFERROR(VLOOKUP($C379,Matches!$A$2:$Q$200,5,FALSE),"Unknown"))</x:f>
      </x:c>
      <x:c r="I379" s="60" t="str">
        <x:f>IF($C379="","",IFERROR(VLOOKUP($C379,Matches!$A$2:$Q$200,16,FALSE),""))</x:f>
      </x:c>
      <x:c r="J379" s="18" t="str">
        <x:f>IF($C379="","",IFERROR(VLOOKUP($C379,Matches!$A$2:$Q$200,11,FALSE),""))</x:f>
      </x:c>
      <x:c r="K379" s="18" t="str">
        <x:f>IF($C379="","",IFERROR(VLOOKUP($C379,Matches!$A$2:$Q$200,12,FALSE),""))</x:f>
      </x:c>
      <x:c r="L379" s="18" t="str">
        <x:f>IF($A379="","",IF($C379=1,"Yes",IF(OR($I379="",$A379&lt;$I379),"Yes","Late")))</x:f>
      </x:c>
      <x:c r="M379" s="66" t="str">
        <x:f>IF($A379="","",IF($L379&lt;&gt;"Yes",0,IF($E379="",0,IF($J379="",0,IF($H379="Group",IF($E379=$J379,Setup!$H$2,Setup!$H$3),IF($E379=$K379,Setup!$H$2,Setup!$H$3))))))</x:f>
      </x:c>
      <x:c r="N379" s="66" t="str">
        <x:f>IF($A379="","",IF($L379&lt;&gt;"Yes",0,IF(OR($F379="",$G379=""),0,IF(AND($F379=VLOOKUP($C379,Matches!$A$2:$Q$200,9,FALSE),$G379=VLOOKUP($C379,Matches!$A$2:$Q$200,10,FALSE)),Setup!$H$5,0))))</x:f>
      </x:c>
      <x:c r="O379" s="66" t="str">
        <x:f>IF($A379="","",$M379+$N379)</x:f>
      </x:c>
      <x:c r="P379" s="18" t="str">
        <x:f>IF($A379="","",IF($L379="Late","Late - 0 points",IF($J379="","Waiting for result",IF($O379&gt;0,"Scored",IF($O379&lt;0,"Wrong pick","No points")))))</x:f>
      </x:c>
    </x:row>
    <x:row r="380">
      <x:c r="A380" s="60" t="n">
        <x:f>'Form Responses 1'!A380</x:f>
        <x:v>0</x:v>
      </x:c>
      <x:c r="B380" s="18" t="n">
        <x:f>'Form Responses 1'!B380</x:f>
        <x:v>0</x:v>
      </x:c>
      <x:c r="C380" s="18" t="n">
        <x:f>'Form Responses 1'!C380</x:f>
        <x:v>0</x:v>
      </x:c>
      <x:c r="D380" s="18" t="n">
        <x:f>'Form Responses 1'!D380</x:f>
        <x:v>0</x:v>
      </x:c>
      <x:c r="E380" s="18" t="n">
        <x:f>'Form Responses 1'!E380</x:f>
        <x:v>0</x:v>
      </x:c>
      <x:c r="F380" s="18" t="n">
        <x:f>'Form Responses 1'!F380</x:f>
        <x:v>0</x:v>
      </x:c>
      <x:c r="G380" s="18" t="n">
        <x:f>'Form Responses 1'!G380</x:f>
        <x:v>0</x:v>
      </x:c>
      <x:c r="H380" s="18" t="str">
        <x:f>IF($C380="","",IFERROR(VLOOKUP($C380,Matches!$A$2:$Q$200,5,FALSE),"Unknown"))</x:f>
      </x:c>
      <x:c r="I380" s="60" t="str">
        <x:f>IF($C380="","",IFERROR(VLOOKUP($C380,Matches!$A$2:$Q$200,16,FALSE),""))</x:f>
      </x:c>
      <x:c r="J380" s="18" t="str">
        <x:f>IF($C380="","",IFERROR(VLOOKUP($C380,Matches!$A$2:$Q$200,11,FALSE),""))</x:f>
      </x:c>
      <x:c r="K380" s="18" t="str">
        <x:f>IF($C380="","",IFERROR(VLOOKUP($C380,Matches!$A$2:$Q$200,12,FALSE),""))</x:f>
      </x:c>
      <x:c r="L380" s="18" t="str">
        <x:f>IF($A380="","",IF($C380=1,"Yes",IF(OR($I380="",$A380&lt;$I380),"Yes","Late")))</x:f>
      </x:c>
      <x:c r="M380" s="66" t="str">
        <x:f>IF($A380="","",IF($L380&lt;&gt;"Yes",0,IF($E380="",0,IF($J380="",0,IF($H380="Group",IF($E380=$J380,Setup!$H$2,Setup!$H$3),IF($E380=$K380,Setup!$H$2,Setup!$H$3))))))</x:f>
      </x:c>
      <x:c r="N380" s="66" t="str">
        <x:f>IF($A380="","",IF($L380&lt;&gt;"Yes",0,IF(OR($F380="",$G380=""),0,IF(AND($F380=VLOOKUP($C380,Matches!$A$2:$Q$200,9,FALSE),$G380=VLOOKUP($C380,Matches!$A$2:$Q$200,10,FALSE)),Setup!$H$5,0))))</x:f>
      </x:c>
      <x:c r="O380" s="66" t="str">
        <x:f>IF($A380="","",$M380+$N380)</x:f>
      </x:c>
      <x:c r="P380" s="18" t="str">
        <x:f>IF($A380="","",IF($L380="Late","Late - 0 points",IF($J380="","Waiting for result",IF($O380&gt;0,"Scored",IF($O380&lt;0,"Wrong pick","No points")))))</x:f>
      </x:c>
    </x:row>
    <x:row r="381">
      <x:c r="A381" s="60" t="n">
        <x:f>'Form Responses 1'!A381</x:f>
        <x:v>0</x:v>
      </x:c>
      <x:c r="B381" s="18" t="n">
        <x:f>'Form Responses 1'!B381</x:f>
        <x:v>0</x:v>
      </x:c>
      <x:c r="C381" s="18" t="n">
        <x:f>'Form Responses 1'!C381</x:f>
        <x:v>0</x:v>
      </x:c>
      <x:c r="D381" s="18" t="n">
        <x:f>'Form Responses 1'!D381</x:f>
        <x:v>0</x:v>
      </x:c>
      <x:c r="E381" s="18" t="n">
        <x:f>'Form Responses 1'!E381</x:f>
        <x:v>0</x:v>
      </x:c>
      <x:c r="F381" s="18" t="n">
        <x:f>'Form Responses 1'!F381</x:f>
        <x:v>0</x:v>
      </x:c>
      <x:c r="G381" s="18" t="n">
        <x:f>'Form Responses 1'!G381</x:f>
        <x:v>0</x:v>
      </x:c>
      <x:c r="H381" s="18" t="str">
        <x:f>IF($C381="","",IFERROR(VLOOKUP($C381,Matches!$A$2:$Q$200,5,FALSE),"Unknown"))</x:f>
      </x:c>
      <x:c r="I381" s="60" t="str">
        <x:f>IF($C381="","",IFERROR(VLOOKUP($C381,Matches!$A$2:$Q$200,16,FALSE),""))</x:f>
      </x:c>
      <x:c r="J381" s="18" t="str">
        <x:f>IF($C381="","",IFERROR(VLOOKUP($C381,Matches!$A$2:$Q$200,11,FALSE),""))</x:f>
      </x:c>
      <x:c r="K381" s="18" t="str">
        <x:f>IF($C381="","",IFERROR(VLOOKUP($C381,Matches!$A$2:$Q$200,12,FALSE),""))</x:f>
      </x:c>
      <x:c r="L381" s="18" t="str">
        <x:f>IF($A381="","",IF($C381=1,"Yes",IF(OR($I381="",$A381&lt;$I381),"Yes","Late")))</x:f>
      </x:c>
      <x:c r="M381" s="66" t="str">
        <x:f>IF($A381="","",IF($L381&lt;&gt;"Yes",0,IF($E381="",0,IF($J381="",0,IF($H381="Group",IF($E381=$J381,Setup!$H$2,Setup!$H$3),IF($E381=$K381,Setup!$H$2,Setup!$H$3))))))</x:f>
      </x:c>
      <x:c r="N381" s="66" t="str">
        <x:f>IF($A381="","",IF($L381&lt;&gt;"Yes",0,IF(OR($F381="",$G381=""),0,IF(AND($F381=VLOOKUP($C381,Matches!$A$2:$Q$200,9,FALSE),$G381=VLOOKUP($C381,Matches!$A$2:$Q$200,10,FALSE)),Setup!$H$5,0))))</x:f>
      </x:c>
      <x:c r="O381" s="66" t="str">
        <x:f>IF($A381="","",$M381+$N381)</x:f>
      </x:c>
      <x:c r="P381" s="18" t="str">
        <x:f>IF($A381="","",IF($L381="Late","Late - 0 points",IF($J381="","Waiting for result",IF($O381&gt;0,"Scored",IF($O381&lt;0,"Wrong pick","No points")))))</x:f>
      </x:c>
    </x:row>
    <x:row r="382">
      <x:c r="A382" s="60" t="n">
        <x:f>'Form Responses 1'!A382</x:f>
        <x:v>0</x:v>
      </x:c>
      <x:c r="B382" s="18" t="n">
        <x:f>'Form Responses 1'!B382</x:f>
        <x:v>0</x:v>
      </x:c>
      <x:c r="C382" s="18" t="n">
        <x:f>'Form Responses 1'!C382</x:f>
        <x:v>0</x:v>
      </x:c>
      <x:c r="D382" s="18" t="n">
        <x:f>'Form Responses 1'!D382</x:f>
        <x:v>0</x:v>
      </x:c>
      <x:c r="E382" s="18" t="n">
        <x:f>'Form Responses 1'!E382</x:f>
        <x:v>0</x:v>
      </x:c>
      <x:c r="F382" s="18" t="n">
        <x:f>'Form Responses 1'!F382</x:f>
        <x:v>0</x:v>
      </x:c>
      <x:c r="G382" s="18" t="n">
        <x:f>'Form Responses 1'!G382</x:f>
        <x:v>0</x:v>
      </x:c>
      <x:c r="H382" s="18" t="str">
        <x:f>IF($C382="","",IFERROR(VLOOKUP($C382,Matches!$A$2:$Q$200,5,FALSE),"Unknown"))</x:f>
      </x:c>
      <x:c r="I382" s="60" t="str">
        <x:f>IF($C382="","",IFERROR(VLOOKUP($C382,Matches!$A$2:$Q$200,16,FALSE),""))</x:f>
      </x:c>
      <x:c r="J382" s="18" t="str">
        <x:f>IF($C382="","",IFERROR(VLOOKUP($C382,Matches!$A$2:$Q$200,11,FALSE),""))</x:f>
      </x:c>
      <x:c r="K382" s="18" t="str">
        <x:f>IF($C382="","",IFERROR(VLOOKUP($C382,Matches!$A$2:$Q$200,12,FALSE),""))</x:f>
      </x:c>
      <x:c r="L382" s="18" t="str">
        <x:f>IF($A382="","",IF($C382=1,"Yes",IF(OR($I382="",$A382&lt;$I382),"Yes","Late")))</x:f>
      </x:c>
      <x:c r="M382" s="66" t="str">
        <x:f>IF($A382="","",IF($L382&lt;&gt;"Yes",0,IF($E382="",0,IF($J382="",0,IF($H382="Group",IF($E382=$J382,Setup!$H$2,Setup!$H$3),IF($E382=$K382,Setup!$H$2,Setup!$H$3))))))</x:f>
      </x:c>
      <x:c r="N382" s="66" t="str">
        <x:f>IF($A382="","",IF($L382&lt;&gt;"Yes",0,IF(OR($F382="",$G382=""),0,IF(AND($F382=VLOOKUP($C382,Matches!$A$2:$Q$200,9,FALSE),$G382=VLOOKUP($C382,Matches!$A$2:$Q$200,10,FALSE)),Setup!$H$5,0))))</x:f>
      </x:c>
      <x:c r="O382" s="66" t="str">
        <x:f>IF($A382="","",$M382+$N382)</x:f>
      </x:c>
      <x:c r="P382" s="18" t="str">
        <x:f>IF($A382="","",IF($L382="Late","Late - 0 points",IF($J382="","Waiting for result",IF($O382&gt;0,"Scored",IF($O382&lt;0,"Wrong pick","No points")))))</x:f>
      </x:c>
    </x:row>
    <x:row r="383">
      <x:c r="A383" s="60" t="n">
        <x:f>'Form Responses 1'!A383</x:f>
        <x:v>0</x:v>
      </x:c>
      <x:c r="B383" s="18" t="n">
        <x:f>'Form Responses 1'!B383</x:f>
        <x:v>0</x:v>
      </x:c>
      <x:c r="C383" s="18" t="n">
        <x:f>'Form Responses 1'!C383</x:f>
        <x:v>0</x:v>
      </x:c>
      <x:c r="D383" s="18" t="n">
        <x:f>'Form Responses 1'!D383</x:f>
        <x:v>0</x:v>
      </x:c>
      <x:c r="E383" s="18" t="n">
        <x:f>'Form Responses 1'!E383</x:f>
        <x:v>0</x:v>
      </x:c>
      <x:c r="F383" s="18" t="n">
        <x:f>'Form Responses 1'!F383</x:f>
        <x:v>0</x:v>
      </x:c>
      <x:c r="G383" s="18" t="n">
        <x:f>'Form Responses 1'!G383</x:f>
        <x:v>0</x:v>
      </x:c>
      <x:c r="H383" s="18" t="str">
        <x:f>IF($C383="","",IFERROR(VLOOKUP($C383,Matches!$A$2:$Q$200,5,FALSE),"Unknown"))</x:f>
      </x:c>
      <x:c r="I383" s="60" t="str">
        <x:f>IF($C383="","",IFERROR(VLOOKUP($C383,Matches!$A$2:$Q$200,16,FALSE),""))</x:f>
      </x:c>
      <x:c r="J383" s="18" t="str">
        <x:f>IF($C383="","",IFERROR(VLOOKUP($C383,Matches!$A$2:$Q$200,11,FALSE),""))</x:f>
      </x:c>
      <x:c r="K383" s="18" t="str">
        <x:f>IF($C383="","",IFERROR(VLOOKUP($C383,Matches!$A$2:$Q$200,12,FALSE),""))</x:f>
      </x:c>
      <x:c r="L383" s="18" t="str">
        <x:f>IF($A383="","",IF($C383=1,"Yes",IF(OR($I383="",$A383&lt;$I383),"Yes","Late")))</x:f>
      </x:c>
      <x:c r="M383" s="66" t="str">
        <x:f>IF($A383="","",IF($L383&lt;&gt;"Yes",0,IF($E383="",0,IF($J383="",0,IF($H383="Group",IF($E383=$J383,Setup!$H$2,Setup!$H$3),IF($E383=$K383,Setup!$H$2,Setup!$H$3))))))</x:f>
      </x:c>
      <x:c r="N383" s="66" t="str">
        <x:f>IF($A383="","",IF($L383&lt;&gt;"Yes",0,IF(OR($F383="",$G383=""),0,IF(AND($F383=VLOOKUP($C383,Matches!$A$2:$Q$200,9,FALSE),$G383=VLOOKUP($C383,Matches!$A$2:$Q$200,10,FALSE)),Setup!$H$5,0))))</x:f>
      </x:c>
      <x:c r="O383" s="66" t="str">
        <x:f>IF($A383="","",$M383+$N383)</x:f>
      </x:c>
      <x:c r="P383" s="18" t="str">
        <x:f>IF($A383="","",IF($L383="Late","Late - 0 points",IF($J383="","Waiting for result",IF($O383&gt;0,"Scored",IF($O383&lt;0,"Wrong pick","No points")))))</x:f>
      </x:c>
    </x:row>
    <x:row r="384">
      <x:c r="A384" s="60" t="n">
        <x:f>'Form Responses 1'!A384</x:f>
        <x:v>0</x:v>
      </x:c>
      <x:c r="B384" s="18" t="n">
        <x:f>'Form Responses 1'!B384</x:f>
        <x:v>0</x:v>
      </x:c>
      <x:c r="C384" s="18" t="n">
        <x:f>'Form Responses 1'!C384</x:f>
        <x:v>0</x:v>
      </x:c>
      <x:c r="D384" s="18" t="n">
        <x:f>'Form Responses 1'!D384</x:f>
        <x:v>0</x:v>
      </x:c>
      <x:c r="E384" s="18" t="n">
        <x:f>'Form Responses 1'!E384</x:f>
        <x:v>0</x:v>
      </x:c>
      <x:c r="F384" s="18" t="n">
        <x:f>'Form Responses 1'!F384</x:f>
        <x:v>0</x:v>
      </x:c>
      <x:c r="G384" s="18" t="n">
        <x:f>'Form Responses 1'!G384</x:f>
        <x:v>0</x:v>
      </x:c>
      <x:c r="H384" s="18" t="str">
        <x:f>IF($C384="","",IFERROR(VLOOKUP($C384,Matches!$A$2:$Q$200,5,FALSE),"Unknown"))</x:f>
      </x:c>
      <x:c r="I384" s="60" t="str">
        <x:f>IF($C384="","",IFERROR(VLOOKUP($C384,Matches!$A$2:$Q$200,16,FALSE),""))</x:f>
      </x:c>
      <x:c r="J384" s="18" t="str">
        <x:f>IF($C384="","",IFERROR(VLOOKUP($C384,Matches!$A$2:$Q$200,11,FALSE),""))</x:f>
      </x:c>
      <x:c r="K384" s="18" t="str">
        <x:f>IF($C384="","",IFERROR(VLOOKUP($C384,Matches!$A$2:$Q$200,12,FALSE),""))</x:f>
      </x:c>
      <x:c r="L384" s="18" t="str">
        <x:f>IF($A384="","",IF($C384=1,"Yes",IF(OR($I384="",$A384&lt;$I384),"Yes","Late")))</x:f>
      </x:c>
      <x:c r="M384" s="66" t="str">
        <x:f>IF($A384="","",IF($L384&lt;&gt;"Yes",0,IF($E384="",0,IF($J384="",0,IF($H384="Group",IF($E384=$J384,Setup!$H$2,Setup!$H$3),IF($E384=$K384,Setup!$H$2,Setup!$H$3))))))</x:f>
      </x:c>
      <x:c r="N384" s="66" t="str">
        <x:f>IF($A384="","",IF($L384&lt;&gt;"Yes",0,IF(OR($F384="",$G384=""),0,IF(AND($F384=VLOOKUP($C384,Matches!$A$2:$Q$200,9,FALSE),$G384=VLOOKUP($C384,Matches!$A$2:$Q$200,10,FALSE)),Setup!$H$5,0))))</x:f>
      </x:c>
      <x:c r="O384" s="66" t="str">
        <x:f>IF($A384="","",$M384+$N384)</x:f>
      </x:c>
      <x:c r="P384" s="18" t="str">
        <x:f>IF($A384="","",IF($L384="Late","Late - 0 points",IF($J384="","Waiting for result",IF($O384&gt;0,"Scored",IF($O384&lt;0,"Wrong pick","No points")))))</x:f>
      </x:c>
    </x:row>
    <x:row r="385">
      <x:c r="A385" s="60" t="n">
        <x:f>'Form Responses 1'!A385</x:f>
        <x:v>0</x:v>
      </x:c>
      <x:c r="B385" s="18" t="n">
        <x:f>'Form Responses 1'!B385</x:f>
        <x:v>0</x:v>
      </x:c>
      <x:c r="C385" s="18" t="n">
        <x:f>'Form Responses 1'!C385</x:f>
        <x:v>0</x:v>
      </x:c>
      <x:c r="D385" s="18" t="n">
        <x:f>'Form Responses 1'!D385</x:f>
        <x:v>0</x:v>
      </x:c>
      <x:c r="E385" s="18" t="n">
        <x:f>'Form Responses 1'!E385</x:f>
        <x:v>0</x:v>
      </x:c>
      <x:c r="F385" s="18" t="n">
        <x:f>'Form Responses 1'!F385</x:f>
        <x:v>0</x:v>
      </x:c>
      <x:c r="G385" s="18" t="n">
        <x:f>'Form Responses 1'!G385</x:f>
        <x:v>0</x:v>
      </x:c>
      <x:c r="H385" s="18" t="str">
        <x:f>IF($C385="","",IFERROR(VLOOKUP($C385,Matches!$A$2:$Q$200,5,FALSE),"Unknown"))</x:f>
      </x:c>
      <x:c r="I385" s="60" t="str">
        <x:f>IF($C385="","",IFERROR(VLOOKUP($C385,Matches!$A$2:$Q$200,16,FALSE),""))</x:f>
      </x:c>
      <x:c r="J385" s="18" t="str">
        <x:f>IF($C385="","",IFERROR(VLOOKUP($C385,Matches!$A$2:$Q$200,11,FALSE),""))</x:f>
      </x:c>
      <x:c r="K385" s="18" t="str">
        <x:f>IF($C385="","",IFERROR(VLOOKUP($C385,Matches!$A$2:$Q$200,12,FALSE),""))</x:f>
      </x:c>
      <x:c r="L385" s="18" t="str">
        <x:f>IF($A385="","",IF($C385=1,"Yes",IF(OR($I385="",$A385&lt;$I385),"Yes","Late")))</x:f>
      </x:c>
      <x:c r="M385" s="66" t="str">
        <x:f>IF($A385="","",IF($L385&lt;&gt;"Yes",0,IF($E385="",0,IF($J385="",0,IF($H385="Group",IF($E385=$J385,Setup!$H$2,Setup!$H$3),IF($E385=$K385,Setup!$H$2,Setup!$H$3))))))</x:f>
      </x:c>
      <x:c r="N385" s="66" t="str">
        <x:f>IF($A385="","",IF($L385&lt;&gt;"Yes",0,IF(OR($F385="",$G385=""),0,IF(AND($F385=VLOOKUP($C385,Matches!$A$2:$Q$200,9,FALSE),$G385=VLOOKUP($C385,Matches!$A$2:$Q$200,10,FALSE)),Setup!$H$5,0))))</x:f>
      </x:c>
      <x:c r="O385" s="66" t="str">
        <x:f>IF($A385="","",$M385+$N385)</x:f>
      </x:c>
      <x:c r="P385" s="18" t="str">
        <x:f>IF($A385="","",IF($L385="Late","Late - 0 points",IF($J385="","Waiting for result",IF($O385&gt;0,"Scored",IF($O385&lt;0,"Wrong pick","No points")))))</x:f>
      </x:c>
    </x:row>
    <x:row r="386">
      <x:c r="A386" s="60" t="n">
        <x:f>'Form Responses 1'!A386</x:f>
        <x:v>0</x:v>
      </x:c>
      <x:c r="B386" s="18" t="n">
        <x:f>'Form Responses 1'!B386</x:f>
        <x:v>0</x:v>
      </x:c>
      <x:c r="C386" s="18" t="n">
        <x:f>'Form Responses 1'!C386</x:f>
        <x:v>0</x:v>
      </x:c>
      <x:c r="D386" s="18" t="n">
        <x:f>'Form Responses 1'!D386</x:f>
        <x:v>0</x:v>
      </x:c>
      <x:c r="E386" s="18" t="n">
        <x:f>'Form Responses 1'!E386</x:f>
        <x:v>0</x:v>
      </x:c>
      <x:c r="F386" s="18" t="n">
        <x:f>'Form Responses 1'!F386</x:f>
        <x:v>0</x:v>
      </x:c>
      <x:c r="G386" s="18" t="n">
        <x:f>'Form Responses 1'!G386</x:f>
        <x:v>0</x:v>
      </x:c>
      <x:c r="H386" s="18" t="str">
        <x:f>IF($C386="","",IFERROR(VLOOKUP($C386,Matches!$A$2:$Q$200,5,FALSE),"Unknown"))</x:f>
      </x:c>
      <x:c r="I386" s="60" t="str">
        <x:f>IF($C386="","",IFERROR(VLOOKUP($C386,Matches!$A$2:$Q$200,16,FALSE),""))</x:f>
      </x:c>
      <x:c r="J386" s="18" t="str">
        <x:f>IF($C386="","",IFERROR(VLOOKUP($C386,Matches!$A$2:$Q$200,11,FALSE),""))</x:f>
      </x:c>
      <x:c r="K386" s="18" t="str">
        <x:f>IF($C386="","",IFERROR(VLOOKUP($C386,Matches!$A$2:$Q$200,12,FALSE),""))</x:f>
      </x:c>
      <x:c r="L386" s="18" t="str">
        <x:f>IF($A386="","",IF($C386=1,"Yes",IF(OR($I386="",$A386&lt;$I386),"Yes","Late")))</x:f>
      </x:c>
      <x:c r="M386" s="66" t="str">
        <x:f>IF($A386="","",IF($L386&lt;&gt;"Yes",0,IF($E386="",0,IF($J386="",0,IF($H386="Group",IF($E386=$J386,Setup!$H$2,Setup!$H$3),IF($E386=$K386,Setup!$H$2,Setup!$H$3))))))</x:f>
      </x:c>
      <x:c r="N386" s="66" t="str">
        <x:f>IF($A386="","",IF($L386&lt;&gt;"Yes",0,IF(OR($F386="",$G386=""),0,IF(AND($F386=VLOOKUP($C386,Matches!$A$2:$Q$200,9,FALSE),$G386=VLOOKUP($C386,Matches!$A$2:$Q$200,10,FALSE)),Setup!$H$5,0))))</x:f>
      </x:c>
      <x:c r="O386" s="66" t="str">
        <x:f>IF($A386="","",$M386+$N386)</x:f>
      </x:c>
      <x:c r="P386" s="18" t="str">
        <x:f>IF($A386="","",IF($L386="Late","Late - 0 points",IF($J386="","Waiting for result",IF($O386&gt;0,"Scored",IF($O386&lt;0,"Wrong pick","No points")))))</x:f>
      </x:c>
    </x:row>
    <x:row r="387">
      <x:c r="A387" s="60" t="n">
        <x:f>'Form Responses 1'!A387</x:f>
        <x:v>0</x:v>
      </x:c>
      <x:c r="B387" s="18" t="n">
        <x:f>'Form Responses 1'!B387</x:f>
        <x:v>0</x:v>
      </x:c>
      <x:c r="C387" s="18" t="n">
        <x:f>'Form Responses 1'!C387</x:f>
        <x:v>0</x:v>
      </x:c>
      <x:c r="D387" s="18" t="n">
        <x:f>'Form Responses 1'!D387</x:f>
        <x:v>0</x:v>
      </x:c>
      <x:c r="E387" s="18" t="n">
        <x:f>'Form Responses 1'!E387</x:f>
        <x:v>0</x:v>
      </x:c>
      <x:c r="F387" s="18" t="n">
        <x:f>'Form Responses 1'!F387</x:f>
        <x:v>0</x:v>
      </x:c>
      <x:c r="G387" s="18" t="n">
        <x:f>'Form Responses 1'!G387</x:f>
        <x:v>0</x:v>
      </x:c>
      <x:c r="H387" s="18" t="str">
        <x:f>IF($C387="","",IFERROR(VLOOKUP($C387,Matches!$A$2:$Q$200,5,FALSE),"Unknown"))</x:f>
      </x:c>
      <x:c r="I387" s="60" t="str">
        <x:f>IF($C387="","",IFERROR(VLOOKUP($C387,Matches!$A$2:$Q$200,16,FALSE),""))</x:f>
      </x:c>
      <x:c r="J387" s="18" t="str">
        <x:f>IF($C387="","",IFERROR(VLOOKUP($C387,Matches!$A$2:$Q$200,11,FALSE),""))</x:f>
      </x:c>
      <x:c r="K387" s="18" t="str">
        <x:f>IF($C387="","",IFERROR(VLOOKUP($C387,Matches!$A$2:$Q$200,12,FALSE),""))</x:f>
      </x:c>
      <x:c r="L387" s="18" t="str">
        <x:f>IF($A387="","",IF($C387=1,"Yes",IF(OR($I387="",$A387&lt;$I387),"Yes","Late")))</x:f>
      </x:c>
      <x:c r="M387" s="66" t="str">
        <x:f>IF($A387="","",IF($L387&lt;&gt;"Yes",0,IF($E387="",0,IF($J387="",0,IF($H387="Group",IF($E387=$J387,Setup!$H$2,Setup!$H$3),IF($E387=$K387,Setup!$H$2,Setup!$H$3))))))</x:f>
      </x:c>
      <x:c r="N387" s="66" t="str">
        <x:f>IF($A387="","",IF($L387&lt;&gt;"Yes",0,IF(OR($F387="",$G387=""),0,IF(AND($F387=VLOOKUP($C387,Matches!$A$2:$Q$200,9,FALSE),$G387=VLOOKUP($C387,Matches!$A$2:$Q$200,10,FALSE)),Setup!$H$5,0))))</x:f>
      </x:c>
      <x:c r="O387" s="66" t="str">
        <x:f>IF($A387="","",$M387+$N387)</x:f>
      </x:c>
      <x:c r="P387" s="18" t="str">
        <x:f>IF($A387="","",IF($L387="Late","Late - 0 points",IF($J387="","Waiting for result",IF($O387&gt;0,"Scored",IF($O387&lt;0,"Wrong pick","No points")))))</x:f>
      </x:c>
    </x:row>
    <x:row r="388">
      <x:c r="A388" s="60" t="n">
        <x:f>'Form Responses 1'!A388</x:f>
        <x:v>0</x:v>
      </x:c>
      <x:c r="B388" s="18" t="n">
        <x:f>'Form Responses 1'!B388</x:f>
        <x:v>0</x:v>
      </x:c>
      <x:c r="C388" s="18" t="n">
        <x:f>'Form Responses 1'!C388</x:f>
        <x:v>0</x:v>
      </x:c>
      <x:c r="D388" s="18" t="n">
        <x:f>'Form Responses 1'!D388</x:f>
        <x:v>0</x:v>
      </x:c>
      <x:c r="E388" s="18" t="n">
        <x:f>'Form Responses 1'!E388</x:f>
        <x:v>0</x:v>
      </x:c>
      <x:c r="F388" s="18" t="n">
        <x:f>'Form Responses 1'!F388</x:f>
        <x:v>0</x:v>
      </x:c>
      <x:c r="G388" s="18" t="n">
        <x:f>'Form Responses 1'!G388</x:f>
        <x:v>0</x:v>
      </x:c>
      <x:c r="H388" s="18" t="str">
        <x:f>IF($C388="","",IFERROR(VLOOKUP($C388,Matches!$A$2:$Q$200,5,FALSE),"Unknown"))</x:f>
      </x:c>
      <x:c r="I388" s="60" t="str">
        <x:f>IF($C388="","",IFERROR(VLOOKUP($C388,Matches!$A$2:$Q$200,16,FALSE),""))</x:f>
      </x:c>
      <x:c r="J388" s="18" t="str">
        <x:f>IF($C388="","",IFERROR(VLOOKUP($C388,Matches!$A$2:$Q$200,11,FALSE),""))</x:f>
      </x:c>
      <x:c r="K388" s="18" t="str">
        <x:f>IF($C388="","",IFERROR(VLOOKUP($C388,Matches!$A$2:$Q$200,12,FALSE),""))</x:f>
      </x:c>
      <x:c r="L388" s="18" t="str">
        <x:f>IF($A388="","",IF($C388=1,"Yes",IF(OR($I388="",$A388&lt;$I388),"Yes","Late")))</x:f>
      </x:c>
      <x:c r="M388" s="66" t="str">
        <x:f>IF($A388="","",IF($L388&lt;&gt;"Yes",0,IF($E388="",0,IF($J388="",0,IF($H388="Group",IF($E388=$J388,Setup!$H$2,Setup!$H$3),IF($E388=$K388,Setup!$H$2,Setup!$H$3))))))</x:f>
      </x:c>
      <x:c r="N388" s="66" t="str">
        <x:f>IF($A388="","",IF($L388&lt;&gt;"Yes",0,IF(OR($F388="",$G388=""),0,IF(AND($F388=VLOOKUP($C388,Matches!$A$2:$Q$200,9,FALSE),$G388=VLOOKUP($C388,Matches!$A$2:$Q$200,10,FALSE)),Setup!$H$5,0))))</x:f>
      </x:c>
      <x:c r="O388" s="66" t="str">
        <x:f>IF($A388="","",$M388+$N388)</x:f>
      </x:c>
      <x:c r="P388" s="18" t="str">
        <x:f>IF($A388="","",IF($L388="Late","Late - 0 points",IF($J388="","Waiting for result",IF($O388&gt;0,"Scored",IF($O388&lt;0,"Wrong pick","No points")))))</x:f>
      </x:c>
    </x:row>
    <x:row r="389">
      <x:c r="A389" s="60" t="n">
        <x:f>'Form Responses 1'!A389</x:f>
        <x:v>0</x:v>
      </x:c>
      <x:c r="B389" s="18" t="n">
        <x:f>'Form Responses 1'!B389</x:f>
        <x:v>0</x:v>
      </x:c>
      <x:c r="C389" s="18" t="n">
        <x:f>'Form Responses 1'!C389</x:f>
        <x:v>0</x:v>
      </x:c>
      <x:c r="D389" s="18" t="n">
        <x:f>'Form Responses 1'!D389</x:f>
        <x:v>0</x:v>
      </x:c>
      <x:c r="E389" s="18" t="n">
        <x:f>'Form Responses 1'!E389</x:f>
        <x:v>0</x:v>
      </x:c>
      <x:c r="F389" s="18" t="n">
        <x:f>'Form Responses 1'!F389</x:f>
        <x:v>0</x:v>
      </x:c>
      <x:c r="G389" s="18" t="n">
        <x:f>'Form Responses 1'!G389</x:f>
        <x:v>0</x:v>
      </x:c>
      <x:c r="H389" s="18" t="str">
        <x:f>IF($C389="","",IFERROR(VLOOKUP($C389,Matches!$A$2:$Q$200,5,FALSE),"Unknown"))</x:f>
      </x:c>
      <x:c r="I389" s="60" t="str">
        <x:f>IF($C389="","",IFERROR(VLOOKUP($C389,Matches!$A$2:$Q$200,16,FALSE),""))</x:f>
      </x:c>
      <x:c r="J389" s="18" t="str">
        <x:f>IF($C389="","",IFERROR(VLOOKUP($C389,Matches!$A$2:$Q$200,11,FALSE),""))</x:f>
      </x:c>
      <x:c r="K389" s="18" t="str">
        <x:f>IF($C389="","",IFERROR(VLOOKUP($C389,Matches!$A$2:$Q$200,12,FALSE),""))</x:f>
      </x:c>
      <x:c r="L389" s="18" t="str">
        <x:f>IF($A389="","",IF($C389=1,"Yes",IF(OR($I389="",$A389&lt;$I389),"Yes","Late")))</x:f>
      </x:c>
      <x:c r="M389" s="66" t="str">
        <x:f>IF($A389="","",IF($L389&lt;&gt;"Yes",0,IF($E389="",0,IF($J389="",0,IF($H389="Group",IF($E389=$J389,Setup!$H$2,Setup!$H$3),IF($E389=$K389,Setup!$H$2,Setup!$H$3))))))</x:f>
      </x:c>
      <x:c r="N389" s="66" t="str">
        <x:f>IF($A389="","",IF($L389&lt;&gt;"Yes",0,IF(OR($F389="",$G389=""),0,IF(AND($F389=VLOOKUP($C389,Matches!$A$2:$Q$200,9,FALSE),$G389=VLOOKUP($C389,Matches!$A$2:$Q$200,10,FALSE)),Setup!$H$5,0))))</x:f>
      </x:c>
      <x:c r="O389" s="66" t="str">
        <x:f>IF($A389="","",$M389+$N389)</x:f>
      </x:c>
      <x:c r="P389" s="18" t="str">
        <x:f>IF($A389="","",IF($L389="Late","Late - 0 points",IF($J389="","Waiting for result",IF($O389&gt;0,"Scored",IF($O389&lt;0,"Wrong pick","No points")))))</x:f>
      </x:c>
    </x:row>
    <x:row r="390">
      <x:c r="A390" s="60" t="n">
        <x:f>'Form Responses 1'!A390</x:f>
        <x:v>0</x:v>
      </x:c>
      <x:c r="B390" s="18" t="n">
        <x:f>'Form Responses 1'!B390</x:f>
        <x:v>0</x:v>
      </x:c>
      <x:c r="C390" s="18" t="n">
        <x:f>'Form Responses 1'!C390</x:f>
        <x:v>0</x:v>
      </x:c>
      <x:c r="D390" s="18" t="n">
        <x:f>'Form Responses 1'!D390</x:f>
        <x:v>0</x:v>
      </x:c>
      <x:c r="E390" s="18" t="n">
        <x:f>'Form Responses 1'!E390</x:f>
        <x:v>0</x:v>
      </x:c>
      <x:c r="F390" s="18" t="n">
        <x:f>'Form Responses 1'!F390</x:f>
        <x:v>0</x:v>
      </x:c>
      <x:c r="G390" s="18" t="n">
        <x:f>'Form Responses 1'!G390</x:f>
        <x:v>0</x:v>
      </x:c>
      <x:c r="H390" s="18" t="str">
        <x:f>IF($C390="","",IFERROR(VLOOKUP($C390,Matches!$A$2:$Q$200,5,FALSE),"Unknown"))</x:f>
      </x:c>
      <x:c r="I390" s="60" t="str">
        <x:f>IF($C390="","",IFERROR(VLOOKUP($C390,Matches!$A$2:$Q$200,16,FALSE),""))</x:f>
      </x:c>
      <x:c r="J390" s="18" t="str">
        <x:f>IF($C390="","",IFERROR(VLOOKUP($C390,Matches!$A$2:$Q$200,11,FALSE),""))</x:f>
      </x:c>
      <x:c r="K390" s="18" t="str">
        <x:f>IF($C390="","",IFERROR(VLOOKUP($C390,Matches!$A$2:$Q$200,12,FALSE),""))</x:f>
      </x:c>
      <x:c r="L390" s="18" t="str">
        <x:f>IF($A390="","",IF($C390=1,"Yes",IF(OR($I390="",$A390&lt;$I390),"Yes","Late")))</x:f>
      </x:c>
      <x:c r="M390" s="66" t="str">
        <x:f>IF($A390="","",IF($L390&lt;&gt;"Yes",0,IF($E390="",0,IF($J390="",0,IF($H390="Group",IF($E390=$J390,Setup!$H$2,Setup!$H$3),IF($E390=$K390,Setup!$H$2,Setup!$H$3))))))</x:f>
      </x:c>
      <x:c r="N390" s="66" t="str">
        <x:f>IF($A390="","",IF($L390&lt;&gt;"Yes",0,IF(OR($F390="",$G390=""),0,IF(AND($F390=VLOOKUP($C390,Matches!$A$2:$Q$200,9,FALSE),$G390=VLOOKUP($C390,Matches!$A$2:$Q$200,10,FALSE)),Setup!$H$5,0))))</x:f>
      </x:c>
      <x:c r="O390" s="66" t="str">
        <x:f>IF($A390="","",$M390+$N390)</x:f>
      </x:c>
      <x:c r="P390" s="18" t="str">
        <x:f>IF($A390="","",IF($L390="Late","Late - 0 points",IF($J390="","Waiting for result",IF($O390&gt;0,"Scored",IF($O390&lt;0,"Wrong pick","No points")))))</x:f>
      </x:c>
    </x:row>
    <x:row r="391">
      <x:c r="A391" s="60" t="n">
        <x:f>'Form Responses 1'!A391</x:f>
        <x:v>0</x:v>
      </x:c>
      <x:c r="B391" s="18" t="n">
        <x:f>'Form Responses 1'!B391</x:f>
        <x:v>0</x:v>
      </x:c>
      <x:c r="C391" s="18" t="n">
        <x:f>'Form Responses 1'!C391</x:f>
        <x:v>0</x:v>
      </x:c>
      <x:c r="D391" s="18" t="n">
        <x:f>'Form Responses 1'!D391</x:f>
        <x:v>0</x:v>
      </x:c>
      <x:c r="E391" s="18" t="n">
        <x:f>'Form Responses 1'!E391</x:f>
        <x:v>0</x:v>
      </x:c>
      <x:c r="F391" s="18" t="n">
        <x:f>'Form Responses 1'!F391</x:f>
        <x:v>0</x:v>
      </x:c>
      <x:c r="G391" s="18" t="n">
        <x:f>'Form Responses 1'!G391</x:f>
        <x:v>0</x:v>
      </x:c>
      <x:c r="H391" s="18" t="str">
        <x:f>IF($C391="","",IFERROR(VLOOKUP($C391,Matches!$A$2:$Q$200,5,FALSE),"Unknown"))</x:f>
      </x:c>
      <x:c r="I391" s="60" t="str">
        <x:f>IF($C391="","",IFERROR(VLOOKUP($C391,Matches!$A$2:$Q$200,16,FALSE),""))</x:f>
      </x:c>
      <x:c r="J391" s="18" t="str">
        <x:f>IF($C391="","",IFERROR(VLOOKUP($C391,Matches!$A$2:$Q$200,11,FALSE),""))</x:f>
      </x:c>
      <x:c r="K391" s="18" t="str">
        <x:f>IF($C391="","",IFERROR(VLOOKUP($C391,Matches!$A$2:$Q$200,12,FALSE),""))</x:f>
      </x:c>
      <x:c r="L391" s="18" t="str">
        <x:f>IF($A391="","",IF($C391=1,"Yes",IF(OR($I391="",$A391&lt;$I391),"Yes","Late")))</x:f>
      </x:c>
      <x:c r="M391" s="66" t="str">
        <x:f>IF($A391="","",IF($L391&lt;&gt;"Yes",0,IF($E391="",0,IF($J391="",0,IF($H391="Group",IF($E391=$J391,Setup!$H$2,Setup!$H$3),IF($E391=$K391,Setup!$H$2,Setup!$H$3))))))</x:f>
      </x:c>
      <x:c r="N391" s="66" t="str">
        <x:f>IF($A391="","",IF($L391&lt;&gt;"Yes",0,IF(OR($F391="",$G391=""),0,IF(AND($F391=VLOOKUP($C391,Matches!$A$2:$Q$200,9,FALSE),$G391=VLOOKUP($C391,Matches!$A$2:$Q$200,10,FALSE)),Setup!$H$5,0))))</x:f>
      </x:c>
      <x:c r="O391" s="66" t="str">
        <x:f>IF($A391="","",$M391+$N391)</x:f>
      </x:c>
      <x:c r="P391" s="18" t="str">
        <x:f>IF($A391="","",IF($L391="Late","Late - 0 points",IF($J391="","Waiting for result",IF($O391&gt;0,"Scored",IF($O391&lt;0,"Wrong pick","No points")))))</x:f>
      </x:c>
    </x:row>
    <x:row r="392">
      <x:c r="A392" s="60" t="n">
        <x:f>'Form Responses 1'!A392</x:f>
        <x:v>0</x:v>
      </x:c>
      <x:c r="B392" s="18" t="n">
        <x:f>'Form Responses 1'!B392</x:f>
        <x:v>0</x:v>
      </x:c>
      <x:c r="C392" s="18" t="n">
        <x:f>'Form Responses 1'!C392</x:f>
        <x:v>0</x:v>
      </x:c>
      <x:c r="D392" s="18" t="n">
        <x:f>'Form Responses 1'!D392</x:f>
        <x:v>0</x:v>
      </x:c>
      <x:c r="E392" s="18" t="n">
        <x:f>'Form Responses 1'!E392</x:f>
        <x:v>0</x:v>
      </x:c>
      <x:c r="F392" s="18" t="n">
        <x:f>'Form Responses 1'!F392</x:f>
        <x:v>0</x:v>
      </x:c>
      <x:c r="G392" s="18" t="n">
        <x:f>'Form Responses 1'!G392</x:f>
        <x:v>0</x:v>
      </x:c>
      <x:c r="H392" s="18" t="str">
        <x:f>IF($C392="","",IFERROR(VLOOKUP($C392,Matches!$A$2:$Q$200,5,FALSE),"Unknown"))</x:f>
      </x:c>
      <x:c r="I392" s="60" t="str">
        <x:f>IF($C392="","",IFERROR(VLOOKUP($C392,Matches!$A$2:$Q$200,16,FALSE),""))</x:f>
      </x:c>
      <x:c r="J392" s="18" t="str">
        <x:f>IF($C392="","",IFERROR(VLOOKUP($C392,Matches!$A$2:$Q$200,11,FALSE),""))</x:f>
      </x:c>
      <x:c r="K392" s="18" t="str">
        <x:f>IF($C392="","",IFERROR(VLOOKUP($C392,Matches!$A$2:$Q$200,12,FALSE),""))</x:f>
      </x:c>
      <x:c r="L392" s="18" t="str">
        <x:f>IF($A392="","",IF($C392=1,"Yes",IF(OR($I392="",$A392&lt;$I392),"Yes","Late")))</x:f>
      </x:c>
      <x:c r="M392" s="66" t="str">
        <x:f>IF($A392="","",IF($L392&lt;&gt;"Yes",0,IF($E392="",0,IF($J392="",0,IF($H392="Group",IF($E392=$J392,Setup!$H$2,Setup!$H$3),IF($E392=$K392,Setup!$H$2,Setup!$H$3))))))</x:f>
      </x:c>
      <x:c r="N392" s="66" t="str">
        <x:f>IF($A392="","",IF($L392&lt;&gt;"Yes",0,IF(OR($F392="",$G392=""),0,IF(AND($F392=VLOOKUP($C392,Matches!$A$2:$Q$200,9,FALSE),$G392=VLOOKUP($C392,Matches!$A$2:$Q$200,10,FALSE)),Setup!$H$5,0))))</x:f>
      </x:c>
      <x:c r="O392" s="66" t="str">
        <x:f>IF($A392="","",$M392+$N392)</x:f>
      </x:c>
      <x:c r="P392" s="18" t="str">
        <x:f>IF($A392="","",IF($L392="Late","Late - 0 points",IF($J392="","Waiting for result",IF($O392&gt;0,"Scored",IF($O392&lt;0,"Wrong pick","No points")))))</x:f>
      </x:c>
    </x:row>
    <x:row r="393">
      <x:c r="A393" s="60" t="n">
        <x:f>'Form Responses 1'!A393</x:f>
        <x:v>0</x:v>
      </x:c>
      <x:c r="B393" s="18" t="n">
        <x:f>'Form Responses 1'!B393</x:f>
        <x:v>0</x:v>
      </x:c>
      <x:c r="C393" s="18" t="n">
        <x:f>'Form Responses 1'!C393</x:f>
        <x:v>0</x:v>
      </x:c>
      <x:c r="D393" s="18" t="n">
        <x:f>'Form Responses 1'!D393</x:f>
        <x:v>0</x:v>
      </x:c>
      <x:c r="E393" s="18" t="n">
        <x:f>'Form Responses 1'!E393</x:f>
        <x:v>0</x:v>
      </x:c>
      <x:c r="F393" s="18" t="n">
        <x:f>'Form Responses 1'!F393</x:f>
        <x:v>0</x:v>
      </x:c>
      <x:c r="G393" s="18" t="n">
        <x:f>'Form Responses 1'!G393</x:f>
        <x:v>0</x:v>
      </x:c>
      <x:c r="H393" s="18" t="str">
        <x:f>IF($C393="","",IFERROR(VLOOKUP($C393,Matches!$A$2:$Q$200,5,FALSE),"Unknown"))</x:f>
      </x:c>
      <x:c r="I393" s="60" t="str">
        <x:f>IF($C393="","",IFERROR(VLOOKUP($C393,Matches!$A$2:$Q$200,16,FALSE),""))</x:f>
      </x:c>
      <x:c r="J393" s="18" t="str">
        <x:f>IF($C393="","",IFERROR(VLOOKUP($C393,Matches!$A$2:$Q$200,11,FALSE),""))</x:f>
      </x:c>
      <x:c r="K393" s="18" t="str">
        <x:f>IF($C393="","",IFERROR(VLOOKUP($C393,Matches!$A$2:$Q$200,12,FALSE),""))</x:f>
      </x:c>
      <x:c r="L393" s="18" t="str">
        <x:f>IF($A393="","",IF($C393=1,"Yes",IF(OR($I393="",$A393&lt;$I393),"Yes","Late")))</x:f>
      </x:c>
      <x:c r="M393" s="66" t="str">
        <x:f>IF($A393="","",IF($L393&lt;&gt;"Yes",0,IF($E393="",0,IF($J393="",0,IF($H393="Group",IF($E393=$J393,Setup!$H$2,Setup!$H$3),IF($E393=$K393,Setup!$H$2,Setup!$H$3))))))</x:f>
      </x:c>
      <x:c r="N393" s="66" t="str">
        <x:f>IF($A393="","",IF($L393&lt;&gt;"Yes",0,IF(OR($F393="",$G393=""),0,IF(AND($F393=VLOOKUP($C393,Matches!$A$2:$Q$200,9,FALSE),$G393=VLOOKUP($C393,Matches!$A$2:$Q$200,10,FALSE)),Setup!$H$5,0))))</x:f>
      </x:c>
      <x:c r="O393" s="66" t="str">
        <x:f>IF($A393="","",$M393+$N393)</x:f>
      </x:c>
      <x:c r="P393" s="18" t="str">
        <x:f>IF($A393="","",IF($L393="Late","Late - 0 points",IF($J393="","Waiting for result",IF($O393&gt;0,"Scored",IF($O393&lt;0,"Wrong pick","No points")))))</x:f>
      </x:c>
    </x:row>
    <x:row r="394">
      <x:c r="A394" s="60" t="n">
        <x:f>'Form Responses 1'!A394</x:f>
        <x:v>0</x:v>
      </x:c>
      <x:c r="B394" s="18" t="n">
        <x:f>'Form Responses 1'!B394</x:f>
        <x:v>0</x:v>
      </x:c>
      <x:c r="C394" s="18" t="n">
        <x:f>'Form Responses 1'!C394</x:f>
        <x:v>0</x:v>
      </x:c>
      <x:c r="D394" s="18" t="n">
        <x:f>'Form Responses 1'!D394</x:f>
        <x:v>0</x:v>
      </x:c>
      <x:c r="E394" s="18" t="n">
        <x:f>'Form Responses 1'!E394</x:f>
        <x:v>0</x:v>
      </x:c>
      <x:c r="F394" s="18" t="n">
        <x:f>'Form Responses 1'!F394</x:f>
        <x:v>0</x:v>
      </x:c>
      <x:c r="G394" s="18" t="n">
        <x:f>'Form Responses 1'!G394</x:f>
        <x:v>0</x:v>
      </x:c>
      <x:c r="H394" s="18" t="str">
        <x:f>IF($C394="","",IFERROR(VLOOKUP($C394,Matches!$A$2:$Q$200,5,FALSE),"Unknown"))</x:f>
      </x:c>
      <x:c r="I394" s="60" t="str">
        <x:f>IF($C394="","",IFERROR(VLOOKUP($C394,Matches!$A$2:$Q$200,16,FALSE),""))</x:f>
      </x:c>
      <x:c r="J394" s="18" t="str">
        <x:f>IF($C394="","",IFERROR(VLOOKUP($C394,Matches!$A$2:$Q$200,11,FALSE),""))</x:f>
      </x:c>
      <x:c r="K394" s="18" t="str">
        <x:f>IF($C394="","",IFERROR(VLOOKUP($C394,Matches!$A$2:$Q$200,12,FALSE),""))</x:f>
      </x:c>
      <x:c r="L394" s="18" t="str">
        <x:f>IF($A394="","",IF($C394=1,"Yes",IF(OR($I394="",$A394&lt;$I394),"Yes","Late")))</x:f>
      </x:c>
      <x:c r="M394" s="66" t="str">
        <x:f>IF($A394="","",IF($L394&lt;&gt;"Yes",0,IF($E394="",0,IF($J394="",0,IF($H394="Group",IF($E394=$J394,Setup!$H$2,Setup!$H$3),IF($E394=$K394,Setup!$H$2,Setup!$H$3))))))</x:f>
      </x:c>
      <x:c r="N394" s="66" t="str">
        <x:f>IF($A394="","",IF($L394&lt;&gt;"Yes",0,IF(OR($F394="",$G394=""),0,IF(AND($F394=VLOOKUP($C394,Matches!$A$2:$Q$200,9,FALSE),$G394=VLOOKUP($C394,Matches!$A$2:$Q$200,10,FALSE)),Setup!$H$5,0))))</x:f>
      </x:c>
      <x:c r="O394" s="66" t="str">
        <x:f>IF($A394="","",$M394+$N394)</x:f>
      </x:c>
      <x:c r="P394" s="18" t="str">
        <x:f>IF($A394="","",IF($L394="Late","Late - 0 points",IF($J394="","Waiting for result",IF($O394&gt;0,"Scored",IF($O394&lt;0,"Wrong pick","No points")))))</x:f>
      </x:c>
    </x:row>
    <x:row r="395">
      <x:c r="A395" s="60" t="n">
        <x:f>'Form Responses 1'!A395</x:f>
        <x:v>0</x:v>
      </x:c>
      <x:c r="B395" s="18" t="n">
        <x:f>'Form Responses 1'!B395</x:f>
        <x:v>0</x:v>
      </x:c>
      <x:c r="C395" s="18" t="n">
        <x:f>'Form Responses 1'!C395</x:f>
        <x:v>0</x:v>
      </x:c>
      <x:c r="D395" s="18" t="n">
        <x:f>'Form Responses 1'!D395</x:f>
        <x:v>0</x:v>
      </x:c>
      <x:c r="E395" s="18" t="n">
        <x:f>'Form Responses 1'!E395</x:f>
        <x:v>0</x:v>
      </x:c>
      <x:c r="F395" s="18" t="n">
        <x:f>'Form Responses 1'!F395</x:f>
        <x:v>0</x:v>
      </x:c>
      <x:c r="G395" s="18" t="n">
        <x:f>'Form Responses 1'!G395</x:f>
        <x:v>0</x:v>
      </x:c>
      <x:c r="H395" s="18" t="str">
        <x:f>IF($C395="","",IFERROR(VLOOKUP($C395,Matches!$A$2:$Q$200,5,FALSE),"Unknown"))</x:f>
      </x:c>
      <x:c r="I395" s="60" t="str">
        <x:f>IF($C395="","",IFERROR(VLOOKUP($C395,Matches!$A$2:$Q$200,16,FALSE),""))</x:f>
      </x:c>
      <x:c r="J395" s="18" t="str">
        <x:f>IF($C395="","",IFERROR(VLOOKUP($C395,Matches!$A$2:$Q$200,11,FALSE),""))</x:f>
      </x:c>
      <x:c r="K395" s="18" t="str">
        <x:f>IF($C395="","",IFERROR(VLOOKUP($C395,Matches!$A$2:$Q$200,12,FALSE),""))</x:f>
      </x:c>
      <x:c r="L395" s="18" t="str">
        <x:f>IF($A395="","",IF($C395=1,"Yes",IF(OR($I395="",$A395&lt;$I395),"Yes","Late")))</x:f>
      </x:c>
      <x:c r="M395" s="66" t="str">
        <x:f>IF($A395="","",IF($L395&lt;&gt;"Yes",0,IF($E395="",0,IF($J395="",0,IF($H395="Group",IF($E395=$J395,Setup!$H$2,Setup!$H$3),IF($E395=$K395,Setup!$H$2,Setup!$H$3))))))</x:f>
      </x:c>
      <x:c r="N395" s="66" t="str">
        <x:f>IF($A395="","",IF($L395&lt;&gt;"Yes",0,IF(OR($F395="",$G395=""),0,IF(AND($F395=VLOOKUP($C395,Matches!$A$2:$Q$200,9,FALSE),$G395=VLOOKUP($C395,Matches!$A$2:$Q$200,10,FALSE)),Setup!$H$5,0))))</x:f>
      </x:c>
      <x:c r="O395" s="66" t="str">
        <x:f>IF($A395="","",$M395+$N395)</x:f>
      </x:c>
      <x:c r="P395" s="18" t="str">
        <x:f>IF($A395="","",IF($L395="Late","Late - 0 points",IF($J395="","Waiting for result",IF($O395&gt;0,"Scored",IF($O395&lt;0,"Wrong pick","No points")))))</x:f>
      </x:c>
    </x:row>
    <x:row r="396">
      <x:c r="A396" s="60" t="n">
        <x:f>'Form Responses 1'!A396</x:f>
        <x:v>0</x:v>
      </x:c>
      <x:c r="B396" s="18" t="n">
        <x:f>'Form Responses 1'!B396</x:f>
        <x:v>0</x:v>
      </x:c>
      <x:c r="C396" s="18" t="n">
        <x:f>'Form Responses 1'!C396</x:f>
        <x:v>0</x:v>
      </x:c>
      <x:c r="D396" s="18" t="n">
        <x:f>'Form Responses 1'!D396</x:f>
        <x:v>0</x:v>
      </x:c>
      <x:c r="E396" s="18" t="n">
        <x:f>'Form Responses 1'!E396</x:f>
        <x:v>0</x:v>
      </x:c>
      <x:c r="F396" s="18" t="n">
        <x:f>'Form Responses 1'!F396</x:f>
        <x:v>0</x:v>
      </x:c>
      <x:c r="G396" s="18" t="n">
        <x:f>'Form Responses 1'!G396</x:f>
        <x:v>0</x:v>
      </x:c>
      <x:c r="H396" s="18" t="str">
        <x:f>IF($C396="","",IFERROR(VLOOKUP($C396,Matches!$A$2:$Q$200,5,FALSE),"Unknown"))</x:f>
      </x:c>
      <x:c r="I396" s="60" t="str">
        <x:f>IF($C396="","",IFERROR(VLOOKUP($C396,Matches!$A$2:$Q$200,16,FALSE),""))</x:f>
      </x:c>
      <x:c r="J396" s="18" t="str">
        <x:f>IF($C396="","",IFERROR(VLOOKUP($C396,Matches!$A$2:$Q$200,11,FALSE),""))</x:f>
      </x:c>
      <x:c r="K396" s="18" t="str">
        <x:f>IF($C396="","",IFERROR(VLOOKUP($C396,Matches!$A$2:$Q$200,12,FALSE),""))</x:f>
      </x:c>
      <x:c r="L396" s="18" t="str">
        <x:f>IF($A396="","",IF($C396=1,"Yes",IF(OR($I396="",$A396&lt;$I396),"Yes","Late")))</x:f>
      </x:c>
      <x:c r="M396" s="66" t="str">
        <x:f>IF($A396="","",IF($L396&lt;&gt;"Yes",0,IF($E396="",0,IF($J396="",0,IF($H396="Group",IF($E396=$J396,Setup!$H$2,Setup!$H$3),IF($E396=$K396,Setup!$H$2,Setup!$H$3))))))</x:f>
      </x:c>
      <x:c r="N396" s="66" t="str">
        <x:f>IF($A396="","",IF($L396&lt;&gt;"Yes",0,IF(OR($F396="",$G396=""),0,IF(AND($F396=VLOOKUP($C396,Matches!$A$2:$Q$200,9,FALSE),$G396=VLOOKUP($C396,Matches!$A$2:$Q$200,10,FALSE)),Setup!$H$5,0))))</x:f>
      </x:c>
      <x:c r="O396" s="66" t="str">
        <x:f>IF($A396="","",$M396+$N396)</x:f>
      </x:c>
      <x:c r="P396" s="18" t="str">
        <x:f>IF($A396="","",IF($L396="Late","Late - 0 points",IF($J396="","Waiting for result",IF($O396&gt;0,"Scored",IF($O396&lt;0,"Wrong pick","No points")))))</x:f>
      </x:c>
    </x:row>
    <x:row r="397">
      <x:c r="A397" s="60" t="n">
        <x:f>'Form Responses 1'!A397</x:f>
        <x:v>0</x:v>
      </x:c>
      <x:c r="B397" s="18" t="n">
        <x:f>'Form Responses 1'!B397</x:f>
        <x:v>0</x:v>
      </x:c>
      <x:c r="C397" s="18" t="n">
        <x:f>'Form Responses 1'!C397</x:f>
        <x:v>0</x:v>
      </x:c>
      <x:c r="D397" s="18" t="n">
        <x:f>'Form Responses 1'!D397</x:f>
        <x:v>0</x:v>
      </x:c>
      <x:c r="E397" s="18" t="n">
        <x:f>'Form Responses 1'!E397</x:f>
        <x:v>0</x:v>
      </x:c>
      <x:c r="F397" s="18" t="n">
        <x:f>'Form Responses 1'!F397</x:f>
        <x:v>0</x:v>
      </x:c>
      <x:c r="G397" s="18" t="n">
        <x:f>'Form Responses 1'!G397</x:f>
        <x:v>0</x:v>
      </x:c>
      <x:c r="H397" s="18" t="str">
        <x:f>IF($C397="","",IFERROR(VLOOKUP($C397,Matches!$A$2:$Q$200,5,FALSE),"Unknown"))</x:f>
      </x:c>
      <x:c r="I397" s="60" t="str">
        <x:f>IF($C397="","",IFERROR(VLOOKUP($C397,Matches!$A$2:$Q$200,16,FALSE),""))</x:f>
      </x:c>
      <x:c r="J397" s="18" t="str">
        <x:f>IF($C397="","",IFERROR(VLOOKUP($C397,Matches!$A$2:$Q$200,11,FALSE),""))</x:f>
      </x:c>
      <x:c r="K397" s="18" t="str">
        <x:f>IF($C397="","",IFERROR(VLOOKUP($C397,Matches!$A$2:$Q$200,12,FALSE),""))</x:f>
      </x:c>
      <x:c r="L397" s="18" t="str">
        <x:f>IF($A397="","",IF($C397=1,"Yes",IF(OR($I397="",$A397&lt;$I397),"Yes","Late")))</x:f>
      </x:c>
      <x:c r="M397" s="66" t="str">
        <x:f>IF($A397="","",IF($L397&lt;&gt;"Yes",0,IF($E397="",0,IF($J397="",0,IF($H397="Group",IF($E397=$J397,Setup!$H$2,Setup!$H$3),IF($E397=$K397,Setup!$H$2,Setup!$H$3))))))</x:f>
      </x:c>
      <x:c r="N397" s="66" t="str">
        <x:f>IF($A397="","",IF($L397&lt;&gt;"Yes",0,IF(OR($F397="",$G397=""),0,IF(AND($F397=VLOOKUP($C397,Matches!$A$2:$Q$200,9,FALSE),$G397=VLOOKUP($C397,Matches!$A$2:$Q$200,10,FALSE)),Setup!$H$5,0))))</x:f>
      </x:c>
      <x:c r="O397" s="66" t="str">
        <x:f>IF($A397="","",$M397+$N397)</x:f>
      </x:c>
      <x:c r="P397" s="18" t="str">
        <x:f>IF($A397="","",IF($L397="Late","Late - 0 points",IF($J397="","Waiting for result",IF($O397&gt;0,"Scored",IF($O397&lt;0,"Wrong pick","No points")))))</x:f>
      </x:c>
    </x:row>
    <x:row r="398">
      <x:c r="A398" s="60" t="n">
        <x:f>'Form Responses 1'!A398</x:f>
        <x:v>0</x:v>
      </x:c>
      <x:c r="B398" s="18" t="n">
        <x:f>'Form Responses 1'!B398</x:f>
        <x:v>0</x:v>
      </x:c>
      <x:c r="C398" s="18" t="n">
        <x:f>'Form Responses 1'!C398</x:f>
        <x:v>0</x:v>
      </x:c>
      <x:c r="D398" s="18" t="n">
        <x:f>'Form Responses 1'!D398</x:f>
        <x:v>0</x:v>
      </x:c>
      <x:c r="E398" s="18" t="n">
        <x:f>'Form Responses 1'!E398</x:f>
        <x:v>0</x:v>
      </x:c>
      <x:c r="F398" s="18" t="n">
        <x:f>'Form Responses 1'!F398</x:f>
        <x:v>0</x:v>
      </x:c>
      <x:c r="G398" s="18" t="n">
        <x:f>'Form Responses 1'!G398</x:f>
        <x:v>0</x:v>
      </x:c>
      <x:c r="H398" s="18" t="str">
        <x:f>IF($C398="","",IFERROR(VLOOKUP($C398,Matches!$A$2:$Q$200,5,FALSE),"Unknown"))</x:f>
      </x:c>
      <x:c r="I398" s="60" t="str">
        <x:f>IF($C398="","",IFERROR(VLOOKUP($C398,Matches!$A$2:$Q$200,16,FALSE),""))</x:f>
      </x:c>
      <x:c r="J398" s="18" t="str">
        <x:f>IF($C398="","",IFERROR(VLOOKUP($C398,Matches!$A$2:$Q$200,11,FALSE),""))</x:f>
      </x:c>
      <x:c r="K398" s="18" t="str">
        <x:f>IF($C398="","",IFERROR(VLOOKUP($C398,Matches!$A$2:$Q$200,12,FALSE),""))</x:f>
      </x:c>
      <x:c r="L398" s="18" t="str">
        <x:f>IF($A398="","",IF($C398=1,"Yes",IF(OR($I398="",$A398&lt;$I398),"Yes","Late")))</x:f>
      </x:c>
      <x:c r="M398" s="66" t="str">
        <x:f>IF($A398="","",IF($L398&lt;&gt;"Yes",0,IF($E398="",0,IF($J398="",0,IF($H398="Group",IF($E398=$J398,Setup!$H$2,Setup!$H$3),IF($E398=$K398,Setup!$H$2,Setup!$H$3))))))</x:f>
      </x:c>
      <x:c r="N398" s="66" t="str">
        <x:f>IF($A398="","",IF($L398&lt;&gt;"Yes",0,IF(OR($F398="",$G398=""),0,IF(AND($F398=VLOOKUP($C398,Matches!$A$2:$Q$200,9,FALSE),$G398=VLOOKUP($C398,Matches!$A$2:$Q$200,10,FALSE)),Setup!$H$5,0))))</x:f>
      </x:c>
      <x:c r="O398" s="66" t="str">
        <x:f>IF($A398="","",$M398+$N398)</x:f>
      </x:c>
      <x:c r="P398" s="18" t="str">
        <x:f>IF($A398="","",IF($L398="Late","Late - 0 points",IF($J398="","Waiting for result",IF($O398&gt;0,"Scored",IF($O398&lt;0,"Wrong pick","No points")))))</x:f>
      </x:c>
    </x:row>
    <x:row r="399">
      <x:c r="A399" s="60" t="n">
        <x:f>'Form Responses 1'!A399</x:f>
        <x:v>0</x:v>
      </x:c>
      <x:c r="B399" s="18" t="n">
        <x:f>'Form Responses 1'!B399</x:f>
        <x:v>0</x:v>
      </x:c>
      <x:c r="C399" s="18" t="n">
        <x:f>'Form Responses 1'!C399</x:f>
        <x:v>0</x:v>
      </x:c>
      <x:c r="D399" s="18" t="n">
        <x:f>'Form Responses 1'!D399</x:f>
        <x:v>0</x:v>
      </x:c>
      <x:c r="E399" s="18" t="n">
        <x:f>'Form Responses 1'!E399</x:f>
        <x:v>0</x:v>
      </x:c>
      <x:c r="F399" s="18" t="n">
        <x:f>'Form Responses 1'!F399</x:f>
        <x:v>0</x:v>
      </x:c>
      <x:c r="G399" s="18" t="n">
        <x:f>'Form Responses 1'!G399</x:f>
        <x:v>0</x:v>
      </x:c>
      <x:c r="H399" s="18" t="str">
        <x:f>IF($C399="","",IFERROR(VLOOKUP($C399,Matches!$A$2:$Q$200,5,FALSE),"Unknown"))</x:f>
      </x:c>
      <x:c r="I399" s="60" t="str">
        <x:f>IF($C399="","",IFERROR(VLOOKUP($C399,Matches!$A$2:$Q$200,16,FALSE),""))</x:f>
      </x:c>
      <x:c r="J399" s="18" t="str">
        <x:f>IF($C399="","",IFERROR(VLOOKUP($C399,Matches!$A$2:$Q$200,11,FALSE),""))</x:f>
      </x:c>
      <x:c r="K399" s="18" t="str">
        <x:f>IF($C399="","",IFERROR(VLOOKUP($C399,Matches!$A$2:$Q$200,12,FALSE),""))</x:f>
      </x:c>
      <x:c r="L399" s="18" t="str">
        <x:f>IF($A399="","",IF($C399=1,"Yes",IF(OR($I399="",$A399&lt;$I399),"Yes","Late")))</x:f>
      </x:c>
      <x:c r="M399" s="66" t="str">
        <x:f>IF($A399="","",IF($L399&lt;&gt;"Yes",0,IF($E399="",0,IF($J399="",0,IF($H399="Group",IF($E399=$J399,Setup!$H$2,Setup!$H$3),IF($E399=$K399,Setup!$H$2,Setup!$H$3))))))</x:f>
      </x:c>
      <x:c r="N399" s="66" t="str">
        <x:f>IF($A399="","",IF($L399&lt;&gt;"Yes",0,IF(OR($F399="",$G399=""),0,IF(AND($F399=VLOOKUP($C399,Matches!$A$2:$Q$200,9,FALSE),$G399=VLOOKUP($C399,Matches!$A$2:$Q$200,10,FALSE)),Setup!$H$5,0))))</x:f>
      </x:c>
      <x:c r="O399" s="66" t="str">
        <x:f>IF($A399="","",$M399+$N399)</x:f>
      </x:c>
      <x:c r="P399" s="18" t="str">
        <x:f>IF($A399="","",IF($L399="Late","Late - 0 points",IF($J399="","Waiting for result",IF($O399&gt;0,"Scored",IF($O399&lt;0,"Wrong pick","No points")))))</x:f>
      </x:c>
    </x:row>
    <x:row r="400">
      <x:c r="A400" s="60" t="n">
        <x:f>'Form Responses 1'!A400</x:f>
        <x:v>0</x:v>
      </x:c>
      <x:c r="B400" s="18" t="n">
        <x:f>'Form Responses 1'!B400</x:f>
        <x:v>0</x:v>
      </x:c>
      <x:c r="C400" s="18" t="n">
        <x:f>'Form Responses 1'!C400</x:f>
        <x:v>0</x:v>
      </x:c>
      <x:c r="D400" s="18" t="n">
        <x:f>'Form Responses 1'!D400</x:f>
        <x:v>0</x:v>
      </x:c>
      <x:c r="E400" s="18" t="n">
        <x:f>'Form Responses 1'!E400</x:f>
        <x:v>0</x:v>
      </x:c>
      <x:c r="F400" s="18" t="n">
        <x:f>'Form Responses 1'!F400</x:f>
        <x:v>0</x:v>
      </x:c>
      <x:c r="G400" s="18" t="n">
        <x:f>'Form Responses 1'!G400</x:f>
        <x:v>0</x:v>
      </x:c>
      <x:c r="H400" s="18" t="str">
        <x:f>IF($C400="","",IFERROR(VLOOKUP($C400,Matches!$A$2:$Q$200,5,FALSE),"Unknown"))</x:f>
      </x:c>
      <x:c r="I400" s="60" t="str">
        <x:f>IF($C400="","",IFERROR(VLOOKUP($C400,Matches!$A$2:$Q$200,16,FALSE),""))</x:f>
      </x:c>
      <x:c r="J400" s="18" t="str">
        <x:f>IF($C400="","",IFERROR(VLOOKUP($C400,Matches!$A$2:$Q$200,11,FALSE),""))</x:f>
      </x:c>
      <x:c r="K400" s="18" t="str">
        <x:f>IF($C400="","",IFERROR(VLOOKUP($C400,Matches!$A$2:$Q$200,12,FALSE),""))</x:f>
      </x:c>
      <x:c r="L400" s="18" t="str">
        <x:f>IF($A400="","",IF($C400=1,"Yes",IF(OR($I400="",$A400&lt;$I400),"Yes","Late")))</x:f>
      </x:c>
      <x:c r="M400" s="66" t="str">
        <x:f>IF($A400="","",IF($L400&lt;&gt;"Yes",0,IF($E400="",0,IF($J400="",0,IF($H400="Group",IF($E400=$J400,Setup!$H$2,Setup!$H$3),IF($E400=$K400,Setup!$H$2,Setup!$H$3))))))</x:f>
      </x:c>
      <x:c r="N400" s="66" t="str">
        <x:f>IF($A400="","",IF($L400&lt;&gt;"Yes",0,IF(OR($F400="",$G400=""),0,IF(AND($F400=VLOOKUP($C400,Matches!$A$2:$Q$200,9,FALSE),$G400=VLOOKUP($C400,Matches!$A$2:$Q$200,10,FALSE)),Setup!$H$5,0))))</x:f>
      </x:c>
      <x:c r="O400" s="66" t="str">
        <x:f>IF($A400="","",$M400+$N400)</x:f>
      </x:c>
      <x:c r="P400" s="18" t="str">
        <x:f>IF($A400="","",IF($L400="Late","Late - 0 points",IF($J400="","Waiting for result",IF($O400&gt;0,"Scored",IF($O400&lt;0,"Wrong pick","No points")))))</x:f>
      </x:c>
    </x:row>
    <x:row r="401">
      <x:c r="A401" s="60" t="n">
        <x:f>'Form Responses 1'!A401</x:f>
        <x:v>0</x:v>
      </x:c>
      <x:c r="B401" s="18" t="n">
        <x:f>'Form Responses 1'!B401</x:f>
        <x:v>0</x:v>
      </x:c>
      <x:c r="C401" s="18" t="n">
        <x:f>'Form Responses 1'!C401</x:f>
        <x:v>0</x:v>
      </x:c>
      <x:c r="D401" s="18" t="n">
        <x:f>'Form Responses 1'!D401</x:f>
        <x:v>0</x:v>
      </x:c>
      <x:c r="E401" s="18" t="n">
        <x:f>'Form Responses 1'!E401</x:f>
        <x:v>0</x:v>
      </x:c>
      <x:c r="F401" s="18" t="n">
        <x:f>'Form Responses 1'!F401</x:f>
        <x:v>0</x:v>
      </x:c>
      <x:c r="G401" s="18" t="n">
        <x:f>'Form Responses 1'!G401</x:f>
        <x:v>0</x:v>
      </x:c>
      <x:c r="H401" s="18" t="str">
        <x:f>IF($C401="","",IFERROR(VLOOKUP($C401,Matches!$A$2:$Q$200,5,FALSE),"Unknown"))</x:f>
      </x:c>
      <x:c r="I401" s="60" t="str">
        <x:f>IF($C401="","",IFERROR(VLOOKUP($C401,Matches!$A$2:$Q$200,16,FALSE),""))</x:f>
      </x:c>
      <x:c r="J401" s="18" t="str">
        <x:f>IF($C401="","",IFERROR(VLOOKUP($C401,Matches!$A$2:$Q$200,11,FALSE),""))</x:f>
      </x:c>
      <x:c r="K401" s="18" t="str">
        <x:f>IF($C401="","",IFERROR(VLOOKUP($C401,Matches!$A$2:$Q$200,12,FALSE),""))</x:f>
      </x:c>
      <x:c r="L401" s="18" t="str">
        <x:f>IF($A401="","",IF($C401=1,"Yes",IF(OR($I401="",$A401&lt;$I401),"Yes","Late")))</x:f>
      </x:c>
      <x:c r="M401" s="66" t="str">
        <x:f>IF($A401="","",IF($L401&lt;&gt;"Yes",0,IF($E401="",0,IF($J401="",0,IF($H401="Group",IF($E401=$J401,Setup!$H$2,Setup!$H$3),IF($E401=$K401,Setup!$H$2,Setup!$H$3))))))</x:f>
      </x:c>
      <x:c r="N401" s="66" t="str">
        <x:f>IF($A401="","",IF($L401&lt;&gt;"Yes",0,IF(OR($F401="",$G401=""),0,IF(AND($F401=VLOOKUP($C401,Matches!$A$2:$Q$200,9,FALSE),$G401=VLOOKUP($C401,Matches!$A$2:$Q$200,10,FALSE)),Setup!$H$5,0))))</x:f>
      </x:c>
      <x:c r="O401" s="66" t="str">
        <x:f>IF($A401="","",$M401+$N401)</x:f>
      </x:c>
      <x:c r="P401" s="18" t="str">
        <x:f>IF($A401="","",IF($L401="Late","Late - 0 points",IF($J401="","Waiting for result",IF($O401&gt;0,"Scored",IF($O401&lt;0,"Wrong pick","No points")))))</x:f>
      </x:c>
    </x:row>
    <x:row r="402">
      <x:c r="A402" s="60" t="n">
        <x:f>'Form Responses 1'!A402</x:f>
        <x:v>0</x:v>
      </x:c>
      <x:c r="B402" s="18" t="n">
        <x:f>'Form Responses 1'!B402</x:f>
        <x:v>0</x:v>
      </x:c>
      <x:c r="C402" s="18" t="n">
        <x:f>'Form Responses 1'!C402</x:f>
        <x:v>0</x:v>
      </x:c>
      <x:c r="D402" s="18" t="n">
        <x:f>'Form Responses 1'!D402</x:f>
        <x:v>0</x:v>
      </x:c>
      <x:c r="E402" s="18" t="n">
        <x:f>'Form Responses 1'!E402</x:f>
        <x:v>0</x:v>
      </x:c>
      <x:c r="F402" s="18" t="n">
        <x:f>'Form Responses 1'!F402</x:f>
        <x:v>0</x:v>
      </x:c>
      <x:c r="G402" s="18" t="n">
        <x:f>'Form Responses 1'!G402</x:f>
        <x:v>0</x:v>
      </x:c>
      <x:c r="H402" s="18" t="str">
        <x:f>IF($C402="","",IFERROR(VLOOKUP($C402,Matches!$A$2:$Q$200,5,FALSE),"Unknown"))</x:f>
      </x:c>
      <x:c r="I402" s="60" t="str">
        <x:f>IF($C402="","",IFERROR(VLOOKUP($C402,Matches!$A$2:$Q$200,16,FALSE),""))</x:f>
      </x:c>
      <x:c r="J402" s="18" t="str">
        <x:f>IF($C402="","",IFERROR(VLOOKUP($C402,Matches!$A$2:$Q$200,11,FALSE),""))</x:f>
      </x:c>
      <x:c r="K402" s="18" t="str">
        <x:f>IF($C402="","",IFERROR(VLOOKUP($C402,Matches!$A$2:$Q$200,12,FALSE),""))</x:f>
      </x:c>
      <x:c r="L402" s="18" t="str">
        <x:f>IF($A402="","",IF($C402=1,"Yes",IF(OR($I402="",$A402&lt;$I402),"Yes","Late")))</x:f>
      </x:c>
      <x:c r="M402" s="66" t="str">
        <x:f>IF($A402="","",IF($L402&lt;&gt;"Yes",0,IF($E402="",0,IF($J402="",0,IF($H402="Group",IF($E402=$J402,Setup!$H$2,Setup!$H$3),IF($E402=$K402,Setup!$H$2,Setup!$H$3))))))</x:f>
      </x:c>
      <x:c r="N402" s="66" t="str">
        <x:f>IF($A402="","",IF($L402&lt;&gt;"Yes",0,IF(OR($F402="",$G402=""),0,IF(AND($F402=VLOOKUP($C402,Matches!$A$2:$Q$200,9,FALSE),$G402=VLOOKUP($C402,Matches!$A$2:$Q$200,10,FALSE)),Setup!$H$5,0))))</x:f>
      </x:c>
      <x:c r="O402" s="66" t="str">
        <x:f>IF($A402="","",$M402+$N402)</x:f>
      </x:c>
      <x:c r="P402" s="18" t="str">
        <x:f>IF($A402="","",IF($L402="Late","Late - 0 points",IF($J402="","Waiting for result",IF($O402&gt;0,"Scored",IF($O402&lt;0,"Wrong pick","No points")))))</x:f>
      </x:c>
    </x:row>
    <x:row r="403">
      <x:c r="A403" s="60" t="n">
        <x:f>'Form Responses 1'!A403</x:f>
        <x:v>0</x:v>
      </x:c>
      <x:c r="B403" s="18" t="n">
        <x:f>'Form Responses 1'!B403</x:f>
        <x:v>0</x:v>
      </x:c>
      <x:c r="C403" s="18" t="n">
        <x:f>'Form Responses 1'!C403</x:f>
        <x:v>0</x:v>
      </x:c>
      <x:c r="D403" s="18" t="n">
        <x:f>'Form Responses 1'!D403</x:f>
        <x:v>0</x:v>
      </x:c>
      <x:c r="E403" s="18" t="n">
        <x:f>'Form Responses 1'!E403</x:f>
        <x:v>0</x:v>
      </x:c>
      <x:c r="F403" s="18" t="n">
        <x:f>'Form Responses 1'!F403</x:f>
        <x:v>0</x:v>
      </x:c>
      <x:c r="G403" s="18" t="n">
        <x:f>'Form Responses 1'!G403</x:f>
        <x:v>0</x:v>
      </x:c>
      <x:c r="H403" s="18" t="str">
        <x:f>IF($C403="","",IFERROR(VLOOKUP($C403,Matches!$A$2:$Q$200,5,FALSE),"Unknown"))</x:f>
      </x:c>
      <x:c r="I403" s="60" t="str">
        <x:f>IF($C403="","",IFERROR(VLOOKUP($C403,Matches!$A$2:$Q$200,16,FALSE),""))</x:f>
      </x:c>
      <x:c r="J403" s="18" t="str">
        <x:f>IF($C403="","",IFERROR(VLOOKUP($C403,Matches!$A$2:$Q$200,11,FALSE),""))</x:f>
      </x:c>
      <x:c r="K403" s="18" t="str">
        <x:f>IF($C403="","",IFERROR(VLOOKUP($C403,Matches!$A$2:$Q$200,12,FALSE),""))</x:f>
      </x:c>
      <x:c r="L403" s="18" t="str">
        <x:f>IF($A403="","",IF($C403=1,"Yes",IF(OR($I403="",$A403&lt;$I403),"Yes","Late")))</x:f>
      </x:c>
      <x:c r="M403" s="66" t="str">
        <x:f>IF($A403="","",IF($L403&lt;&gt;"Yes",0,IF($E403="",0,IF($J403="",0,IF($H403="Group",IF($E403=$J403,Setup!$H$2,Setup!$H$3),IF($E403=$K403,Setup!$H$2,Setup!$H$3))))))</x:f>
      </x:c>
      <x:c r="N403" s="66" t="str">
        <x:f>IF($A403="","",IF($L403&lt;&gt;"Yes",0,IF(OR($F403="",$G403=""),0,IF(AND($F403=VLOOKUP($C403,Matches!$A$2:$Q$200,9,FALSE),$G403=VLOOKUP($C403,Matches!$A$2:$Q$200,10,FALSE)),Setup!$H$5,0))))</x:f>
      </x:c>
      <x:c r="O403" s="66" t="str">
        <x:f>IF($A403="","",$M403+$N403)</x:f>
      </x:c>
      <x:c r="P403" s="18" t="str">
        <x:f>IF($A403="","",IF($L403="Late","Late - 0 points",IF($J403="","Waiting for result",IF($O403&gt;0,"Scored",IF($O403&lt;0,"Wrong pick","No points")))))</x:f>
      </x:c>
    </x:row>
    <x:row r="404">
      <x:c r="A404" s="60" t="n">
        <x:f>'Form Responses 1'!A404</x:f>
        <x:v>0</x:v>
      </x:c>
      <x:c r="B404" s="18" t="n">
        <x:f>'Form Responses 1'!B404</x:f>
        <x:v>0</x:v>
      </x:c>
      <x:c r="C404" s="18" t="n">
        <x:f>'Form Responses 1'!C404</x:f>
        <x:v>0</x:v>
      </x:c>
      <x:c r="D404" s="18" t="n">
        <x:f>'Form Responses 1'!D404</x:f>
        <x:v>0</x:v>
      </x:c>
      <x:c r="E404" s="18" t="n">
        <x:f>'Form Responses 1'!E404</x:f>
        <x:v>0</x:v>
      </x:c>
      <x:c r="F404" s="18" t="n">
        <x:f>'Form Responses 1'!F404</x:f>
        <x:v>0</x:v>
      </x:c>
      <x:c r="G404" s="18" t="n">
        <x:f>'Form Responses 1'!G404</x:f>
        <x:v>0</x:v>
      </x:c>
      <x:c r="H404" s="18" t="str">
        <x:f>IF($C404="","",IFERROR(VLOOKUP($C404,Matches!$A$2:$Q$200,5,FALSE),"Unknown"))</x:f>
      </x:c>
      <x:c r="I404" s="60" t="str">
        <x:f>IF($C404="","",IFERROR(VLOOKUP($C404,Matches!$A$2:$Q$200,16,FALSE),""))</x:f>
      </x:c>
      <x:c r="J404" s="18" t="str">
        <x:f>IF($C404="","",IFERROR(VLOOKUP($C404,Matches!$A$2:$Q$200,11,FALSE),""))</x:f>
      </x:c>
      <x:c r="K404" s="18" t="str">
        <x:f>IF($C404="","",IFERROR(VLOOKUP($C404,Matches!$A$2:$Q$200,12,FALSE),""))</x:f>
      </x:c>
      <x:c r="L404" s="18" t="str">
        <x:f>IF($A404="","",IF($C404=1,"Yes",IF(OR($I404="",$A404&lt;$I404),"Yes","Late")))</x:f>
      </x:c>
      <x:c r="M404" s="66" t="str">
        <x:f>IF($A404="","",IF($L404&lt;&gt;"Yes",0,IF($E404="",0,IF($J404="",0,IF($H404="Group",IF($E404=$J404,Setup!$H$2,Setup!$H$3),IF($E404=$K404,Setup!$H$2,Setup!$H$3))))))</x:f>
      </x:c>
      <x:c r="N404" s="66" t="str">
        <x:f>IF($A404="","",IF($L404&lt;&gt;"Yes",0,IF(OR($F404="",$G404=""),0,IF(AND($F404=VLOOKUP($C404,Matches!$A$2:$Q$200,9,FALSE),$G404=VLOOKUP($C404,Matches!$A$2:$Q$200,10,FALSE)),Setup!$H$5,0))))</x:f>
      </x:c>
      <x:c r="O404" s="66" t="str">
        <x:f>IF($A404="","",$M404+$N404)</x:f>
      </x:c>
      <x:c r="P404" s="18" t="str">
        <x:f>IF($A404="","",IF($L404="Late","Late - 0 points",IF($J404="","Waiting for result",IF($O404&gt;0,"Scored",IF($O404&lt;0,"Wrong pick","No points")))))</x:f>
      </x:c>
    </x:row>
    <x:row r="405">
      <x:c r="A405" s="60" t="n">
        <x:f>'Form Responses 1'!A405</x:f>
        <x:v>0</x:v>
      </x:c>
      <x:c r="B405" s="18" t="n">
        <x:f>'Form Responses 1'!B405</x:f>
        <x:v>0</x:v>
      </x:c>
      <x:c r="C405" s="18" t="n">
        <x:f>'Form Responses 1'!C405</x:f>
        <x:v>0</x:v>
      </x:c>
      <x:c r="D405" s="18" t="n">
        <x:f>'Form Responses 1'!D405</x:f>
        <x:v>0</x:v>
      </x:c>
      <x:c r="E405" s="18" t="n">
        <x:f>'Form Responses 1'!E405</x:f>
        <x:v>0</x:v>
      </x:c>
      <x:c r="F405" s="18" t="n">
        <x:f>'Form Responses 1'!F405</x:f>
        <x:v>0</x:v>
      </x:c>
      <x:c r="G405" s="18" t="n">
        <x:f>'Form Responses 1'!G405</x:f>
        <x:v>0</x:v>
      </x:c>
      <x:c r="H405" s="18" t="str">
        <x:f>IF($C405="","",IFERROR(VLOOKUP($C405,Matches!$A$2:$Q$200,5,FALSE),"Unknown"))</x:f>
      </x:c>
      <x:c r="I405" s="60" t="str">
        <x:f>IF($C405="","",IFERROR(VLOOKUP($C405,Matches!$A$2:$Q$200,16,FALSE),""))</x:f>
      </x:c>
      <x:c r="J405" s="18" t="str">
        <x:f>IF($C405="","",IFERROR(VLOOKUP($C405,Matches!$A$2:$Q$200,11,FALSE),""))</x:f>
      </x:c>
      <x:c r="K405" s="18" t="str">
        <x:f>IF($C405="","",IFERROR(VLOOKUP($C405,Matches!$A$2:$Q$200,12,FALSE),""))</x:f>
      </x:c>
      <x:c r="L405" s="18" t="str">
        <x:f>IF($A405="","",IF($C405=1,"Yes",IF(OR($I405="",$A405&lt;$I405),"Yes","Late")))</x:f>
      </x:c>
      <x:c r="M405" s="66" t="str">
        <x:f>IF($A405="","",IF($L405&lt;&gt;"Yes",0,IF($E405="",0,IF($J405="",0,IF($H405="Group",IF($E405=$J405,Setup!$H$2,Setup!$H$3),IF($E405=$K405,Setup!$H$2,Setup!$H$3))))))</x:f>
      </x:c>
      <x:c r="N405" s="66" t="str">
        <x:f>IF($A405="","",IF($L405&lt;&gt;"Yes",0,IF(OR($F405="",$G405=""),0,IF(AND($F405=VLOOKUP($C405,Matches!$A$2:$Q$200,9,FALSE),$G405=VLOOKUP($C405,Matches!$A$2:$Q$200,10,FALSE)),Setup!$H$5,0))))</x:f>
      </x:c>
      <x:c r="O405" s="66" t="str">
        <x:f>IF($A405="","",$M405+$N405)</x:f>
      </x:c>
      <x:c r="P405" s="18" t="str">
        <x:f>IF($A405="","",IF($L405="Late","Late - 0 points",IF($J405="","Waiting for result",IF($O405&gt;0,"Scored",IF($O405&lt;0,"Wrong pick","No points")))))</x:f>
      </x:c>
    </x:row>
    <x:row r="406">
      <x:c r="A406" s="60" t="n">
        <x:f>'Form Responses 1'!A406</x:f>
        <x:v>0</x:v>
      </x:c>
      <x:c r="B406" s="18" t="n">
        <x:f>'Form Responses 1'!B406</x:f>
        <x:v>0</x:v>
      </x:c>
      <x:c r="C406" s="18" t="n">
        <x:f>'Form Responses 1'!C406</x:f>
        <x:v>0</x:v>
      </x:c>
      <x:c r="D406" s="18" t="n">
        <x:f>'Form Responses 1'!D406</x:f>
        <x:v>0</x:v>
      </x:c>
      <x:c r="E406" s="18" t="n">
        <x:f>'Form Responses 1'!E406</x:f>
        <x:v>0</x:v>
      </x:c>
      <x:c r="F406" s="18" t="n">
        <x:f>'Form Responses 1'!F406</x:f>
        <x:v>0</x:v>
      </x:c>
      <x:c r="G406" s="18" t="n">
        <x:f>'Form Responses 1'!G406</x:f>
        <x:v>0</x:v>
      </x:c>
      <x:c r="H406" s="18" t="str">
        <x:f>IF($C406="","",IFERROR(VLOOKUP($C406,Matches!$A$2:$Q$200,5,FALSE),"Unknown"))</x:f>
      </x:c>
      <x:c r="I406" s="60" t="str">
        <x:f>IF($C406="","",IFERROR(VLOOKUP($C406,Matches!$A$2:$Q$200,16,FALSE),""))</x:f>
      </x:c>
      <x:c r="J406" s="18" t="str">
        <x:f>IF($C406="","",IFERROR(VLOOKUP($C406,Matches!$A$2:$Q$200,11,FALSE),""))</x:f>
      </x:c>
      <x:c r="K406" s="18" t="str">
        <x:f>IF($C406="","",IFERROR(VLOOKUP($C406,Matches!$A$2:$Q$200,12,FALSE),""))</x:f>
      </x:c>
      <x:c r="L406" s="18" t="str">
        <x:f>IF($A406="","",IF($C406=1,"Yes",IF(OR($I406="",$A406&lt;$I406),"Yes","Late")))</x:f>
      </x:c>
      <x:c r="M406" s="66" t="str">
        <x:f>IF($A406="","",IF($L406&lt;&gt;"Yes",0,IF($E406="",0,IF($J406="",0,IF($H406="Group",IF($E406=$J406,Setup!$H$2,Setup!$H$3),IF($E406=$K406,Setup!$H$2,Setup!$H$3))))))</x:f>
      </x:c>
      <x:c r="N406" s="66" t="str">
        <x:f>IF($A406="","",IF($L406&lt;&gt;"Yes",0,IF(OR($F406="",$G406=""),0,IF(AND($F406=VLOOKUP($C406,Matches!$A$2:$Q$200,9,FALSE),$G406=VLOOKUP($C406,Matches!$A$2:$Q$200,10,FALSE)),Setup!$H$5,0))))</x:f>
      </x:c>
      <x:c r="O406" s="66" t="str">
        <x:f>IF($A406="","",$M406+$N406)</x:f>
      </x:c>
      <x:c r="P406" s="18" t="str">
        <x:f>IF($A406="","",IF($L406="Late","Late - 0 points",IF($J406="","Waiting for result",IF($O406&gt;0,"Scored",IF($O406&lt;0,"Wrong pick","No points")))))</x:f>
      </x:c>
    </x:row>
    <x:row r="407">
      <x:c r="A407" s="60" t="n">
        <x:f>'Form Responses 1'!A407</x:f>
        <x:v>0</x:v>
      </x:c>
      <x:c r="B407" s="18" t="n">
        <x:f>'Form Responses 1'!B407</x:f>
        <x:v>0</x:v>
      </x:c>
      <x:c r="C407" s="18" t="n">
        <x:f>'Form Responses 1'!C407</x:f>
        <x:v>0</x:v>
      </x:c>
      <x:c r="D407" s="18" t="n">
        <x:f>'Form Responses 1'!D407</x:f>
        <x:v>0</x:v>
      </x:c>
      <x:c r="E407" s="18" t="n">
        <x:f>'Form Responses 1'!E407</x:f>
        <x:v>0</x:v>
      </x:c>
      <x:c r="F407" s="18" t="n">
        <x:f>'Form Responses 1'!F407</x:f>
        <x:v>0</x:v>
      </x:c>
      <x:c r="G407" s="18" t="n">
        <x:f>'Form Responses 1'!G407</x:f>
        <x:v>0</x:v>
      </x:c>
      <x:c r="H407" s="18" t="str">
        <x:f>IF($C407="","",IFERROR(VLOOKUP($C407,Matches!$A$2:$Q$200,5,FALSE),"Unknown"))</x:f>
      </x:c>
      <x:c r="I407" s="60" t="str">
        <x:f>IF($C407="","",IFERROR(VLOOKUP($C407,Matches!$A$2:$Q$200,16,FALSE),""))</x:f>
      </x:c>
      <x:c r="J407" s="18" t="str">
        <x:f>IF($C407="","",IFERROR(VLOOKUP($C407,Matches!$A$2:$Q$200,11,FALSE),""))</x:f>
      </x:c>
      <x:c r="K407" s="18" t="str">
        <x:f>IF($C407="","",IFERROR(VLOOKUP($C407,Matches!$A$2:$Q$200,12,FALSE),""))</x:f>
      </x:c>
      <x:c r="L407" s="18" t="str">
        <x:f>IF($A407="","",IF($C407=1,"Yes",IF(OR($I407="",$A407&lt;$I407),"Yes","Late")))</x:f>
      </x:c>
      <x:c r="M407" s="66" t="str">
        <x:f>IF($A407="","",IF($L407&lt;&gt;"Yes",0,IF($E407="",0,IF($J407="",0,IF($H407="Group",IF($E407=$J407,Setup!$H$2,Setup!$H$3),IF($E407=$K407,Setup!$H$2,Setup!$H$3))))))</x:f>
      </x:c>
      <x:c r="N407" s="66" t="str">
        <x:f>IF($A407="","",IF($L407&lt;&gt;"Yes",0,IF(OR($F407="",$G407=""),0,IF(AND($F407=VLOOKUP($C407,Matches!$A$2:$Q$200,9,FALSE),$G407=VLOOKUP($C407,Matches!$A$2:$Q$200,10,FALSE)),Setup!$H$5,0))))</x:f>
      </x:c>
      <x:c r="O407" s="66" t="str">
        <x:f>IF($A407="","",$M407+$N407)</x:f>
      </x:c>
      <x:c r="P407" s="18" t="str">
        <x:f>IF($A407="","",IF($L407="Late","Late - 0 points",IF($J407="","Waiting for result",IF($O407&gt;0,"Scored",IF($O407&lt;0,"Wrong pick","No points")))))</x:f>
      </x:c>
    </x:row>
    <x:row r="408">
      <x:c r="A408" s="60" t="n">
        <x:f>'Form Responses 1'!A408</x:f>
        <x:v>0</x:v>
      </x:c>
      <x:c r="B408" s="18" t="n">
        <x:f>'Form Responses 1'!B408</x:f>
        <x:v>0</x:v>
      </x:c>
      <x:c r="C408" s="18" t="n">
        <x:f>'Form Responses 1'!C408</x:f>
        <x:v>0</x:v>
      </x:c>
      <x:c r="D408" s="18" t="n">
        <x:f>'Form Responses 1'!D408</x:f>
        <x:v>0</x:v>
      </x:c>
      <x:c r="E408" s="18" t="n">
        <x:f>'Form Responses 1'!E408</x:f>
        <x:v>0</x:v>
      </x:c>
      <x:c r="F408" s="18" t="n">
        <x:f>'Form Responses 1'!F408</x:f>
        <x:v>0</x:v>
      </x:c>
      <x:c r="G408" s="18" t="n">
        <x:f>'Form Responses 1'!G408</x:f>
        <x:v>0</x:v>
      </x:c>
      <x:c r="H408" s="18" t="str">
        <x:f>IF($C408="","",IFERROR(VLOOKUP($C408,Matches!$A$2:$Q$200,5,FALSE),"Unknown"))</x:f>
      </x:c>
      <x:c r="I408" s="60" t="str">
        <x:f>IF($C408="","",IFERROR(VLOOKUP($C408,Matches!$A$2:$Q$200,16,FALSE),""))</x:f>
      </x:c>
      <x:c r="J408" s="18" t="str">
        <x:f>IF($C408="","",IFERROR(VLOOKUP($C408,Matches!$A$2:$Q$200,11,FALSE),""))</x:f>
      </x:c>
      <x:c r="K408" s="18" t="str">
        <x:f>IF($C408="","",IFERROR(VLOOKUP($C408,Matches!$A$2:$Q$200,12,FALSE),""))</x:f>
      </x:c>
      <x:c r="L408" s="18" t="str">
        <x:f>IF($A408="","",IF($C408=1,"Yes",IF(OR($I408="",$A408&lt;$I408),"Yes","Late")))</x:f>
      </x:c>
      <x:c r="M408" s="66" t="str">
        <x:f>IF($A408="","",IF($L408&lt;&gt;"Yes",0,IF($E408="",0,IF($J408="",0,IF($H408="Group",IF($E408=$J408,Setup!$H$2,Setup!$H$3),IF($E408=$K408,Setup!$H$2,Setup!$H$3))))))</x:f>
      </x:c>
      <x:c r="N408" s="66" t="str">
        <x:f>IF($A408="","",IF($L408&lt;&gt;"Yes",0,IF(OR($F408="",$G408=""),0,IF(AND($F408=VLOOKUP($C408,Matches!$A$2:$Q$200,9,FALSE),$G408=VLOOKUP($C408,Matches!$A$2:$Q$200,10,FALSE)),Setup!$H$5,0))))</x:f>
      </x:c>
      <x:c r="O408" s="66" t="str">
        <x:f>IF($A408="","",$M408+$N408)</x:f>
      </x:c>
      <x:c r="P408" s="18" t="str">
        <x:f>IF($A408="","",IF($L408="Late","Late - 0 points",IF($J408="","Waiting for result",IF($O408&gt;0,"Scored",IF($O408&lt;0,"Wrong pick","No points")))))</x:f>
      </x:c>
    </x:row>
    <x:row r="409">
      <x:c r="A409" s="60" t="n">
        <x:f>'Form Responses 1'!A409</x:f>
        <x:v>0</x:v>
      </x:c>
      <x:c r="B409" s="18" t="n">
        <x:f>'Form Responses 1'!B409</x:f>
        <x:v>0</x:v>
      </x:c>
      <x:c r="C409" s="18" t="n">
        <x:f>'Form Responses 1'!C409</x:f>
        <x:v>0</x:v>
      </x:c>
      <x:c r="D409" s="18" t="n">
        <x:f>'Form Responses 1'!D409</x:f>
        <x:v>0</x:v>
      </x:c>
      <x:c r="E409" s="18" t="n">
        <x:f>'Form Responses 1'!E409</x:f>
        <x:v>0</x:v>
      </x:c>
      <x:c r="F409" s="18" t="n">
        <x:f>'Form Responses 1'!F409</x:f>
        <x:v>0</x:v>
      </x:c>
      <x:c r="G409" s="18" t="n">
        <x:f>'Form Responses 1'!G409</x:f>
        <x:v>0</x:v>
      </x:c>
      <x:c r="H409" s="18" t="str">
        <x:f>IF($C409="","",IFERROR(VLOOKUP($C409,Matches!$A$2:$Q$200,5,FALSE),"Unknown"))</x:f>
      </x:c>
      <x:c r="I409" s="60" t="str">
        <x:f>IF($C409="","",IFERROR(VLOOKUP($C409,Matches!$A$2:$Q$200,16,FALSE),""))</x:f>
      </x:c>
      <x:c r="J409" s="18" t="str">
        <x:f>IF($C409="","",IFERROR(VLOOKUP($C409,Matches!$A$2:$Q$200,11,FALSE),""))</x:f>
      </x:c>
      <x:c r="K409" s="18" t="str">
        <x:f>IF($C409="","",IFERROR(VLOOKUP($C409,Matches!$A$2:$Q$200,12,FALSE),""))</x:f>
      </x:c>
      <x:c r="L409" s="18" t="str">
        <x:f>IF($A409="","",IF($C409=1,"Yes",IF(OR($I409="",$A409&lt;$I409),"Yes","Late")))</x:f>
      </x:c>
      <x:c r="M409" s="66" t="str">
        <x:f>IF($A409="","",IF($L409&lt;&gt;"Yes",0,IF($E409="",0,IF($J409="",0,IF($H409="Group",IF($E409=$J409,Setup!$H$2,Setup!$H$3),IF($E409=$K409,Setup!$H$2,Setup!$H$3))))))</x:f>
      </x:c>
      <x:c r="N409" s="66" t="str">
        <x:f>IF($A409="","",IF($L409&lt;&gt;"Yes",0,IF(OR($F409="",$G409=""),0,IF(AND($F409=VLOOKUP($C409,Matches!$A$2:$Q$200,9,FALSE),$G409=VLOOKUP($C409,Matches!$A$2:$Q$200,10,FALSE)),Setup!$H$5,0))))</x:f>
      </x:c>
      <x:c r="O409" s="66" t="str">
        <x:f>IF($A409="","",$M409+$N409)</x:f>
      </x:c>
      <x:c r="P409" s="18" t="str">
        <x:f>IF($A409="","",IF($L409="Late","Late - 0 points",IF($J409="","Waiting for result",IF($O409&gt;0,"Scored",IF($O409&lt;0,"Wrong pick","No points")))))</x:f>
      </x:c>
    </x:row>
    <x:row r="410">
      <x:c r="A410" s="60" t="n">
        <x:f>'Form Responses 1'!A410</x:f>
        <x:v>0</x:v>
      </x:c>
      <x:c r="B410" s="18" t="n">
        <x:f>'Form Responses 1'!B410</x:f>
        <x:v>0</x:v>
      </x:c>
      <x:c r="C410" s="18" t="n">
        <x:f>'Form Responses 1'!C410</x:f>
        <x:v>0</x:v>
      </x:c>
      <x:c r="D410" s="18" t="n">
        <x:f>'Form Responses 1'!D410</x:f>
        <x:v>0</x:v>
      </x:c>
      <x:c r="E410" s="18" t="n">
        <x:f>'Form Responses 1'!E410</x:f>
        <x:v>0</x:v>
      </x:c>
      <x:c r="F410" s="18" t="n">
        <x:f>'Form Responses 1'!F410</x:f>
        <x:v>0</x:v>
      </x:c>
      <x:c r="G410" s="18" t="n">
        <x:f>'Form Responses 1'!G410</x:f>
        <x:v>0</x:v>
      </x:c>
      <x:c r="H410" s="18" t="str">
        <x:f>IF($C410="","",IFERROR(VLOOKUP($C410,Matches!$A$2:$Q$200,5,FALSE),"Unknown"))</x:f>
      </x:c>
      <x:c r="I410" s="60" t="str">
        <x:f>IF($C410="","",IFERROR(VLOOKUP($C410,Matches!$A$2:$Q$200,16,FALSE),""))</x:f>
      </x:c>
      <x:c r="J410" s="18" t="str">
        <x:f>IF($C410="","",IFERROR(VLOOKUP($C410,Matches!$A$2:$Q$200,11,FALSE),""))</x:f>
      </x:c>
      <x:c r="K410" s="18" t="str">
        <x:f>IF($C410="","",IFERROR(VLOOKUP($C410,Matches!$A$2:$Q$200,12,FALSE),""))</x:f>
      </x:c>
      <x:c r="L410" s="18" t="str">
        <x:f>IF($A410="","",IF($C410=1,"Yes",IF(OR($I410="",$A410&lt;$I410),"Yes","Late")))</x:f>
      </x:c>
      <x:c r="M410" s="66" t="str">
        <x:f>IF($A410="","",IF($L410&lt;&gt;"Yes",0,IF($E410="",0,IF($J410="",0,IF($H410="Group",IF($E410=$J410,Setup!$H$2,Setup!$H$3),IF($E410=$K410,Setup!$H$2,Setup!$H$3))))))</x:f>
      </x:c>
      <x:c r="N410" s="66" t="str">
        <x:f>IF($A410="","",IF($L410&lt;&gt;"Yes",0,IF(OR($F410="",$G410=""),0,IF(AND($F410=VLOOKUP($C410,Matches!$A$2:$Q$200,9,FALSE),$G410=VLOOKUP($C410,Matches!$A$2:$Q$200,10,FALSE)),Setup!$H$5,0))))</x:f>
      </x:c>
      <x:c r="O410" s="66" t="str">
        <x:f>IF($A410="","",$M410+$N410)</x:f>
      </x:c>
      <x:c r="P410" s="18" t="str">
        <x:f>IF($A410="","",IF($L410="Late","Late - 0 points",IF($J410="","Waiting for result",IF($O410&gt;0,"Scored",IF($O410&lt;0,"Wrong pick","No points")))))</x:f>
      </x:c>
    </x:row>
    <x:row r="411">
      <x:c r="A411" s="60" t="n">
        <x:f>'Form Responses 1'!A411</x:f>
        <x:v>0</x:v>
      </x:c>
      <x:c r="B411" s="18" t="n">
        <x:f>'Form Responses 1'!B411</x:f>
        <x:v>0</x:v>
      </x:c>
      <x:c r="C411" s="18" t="n">
        <x:f>'Form Responses 1'!C411</x:f>
        <x:v>0</x:v>
      </x:c>
      <x:c r="D411" s="18" t="n">
        <x:f>'Form Responses 1'!D411</x:f>
        <x:v>0</x:v>
      </x:c>
      <x:c r="E411" s="18" t="n">
        <x:f>'Form Responses 1'!E411</x:f>
        <x:v>0</x:v>
      </x:c>
      <x:c r="F411" s="18" t="n">
        <x:f>'Form Responses 1'!F411</x:f>
        <x:v>0</x:v>
      </x:c>
      <x:c r="G411" s="18" t="n">
        <x:f>'Form Responses 1'!G411</x:f>
        <x:v>0</x:v>
      </x:c>
      <x:c r="H411" s="18" t="str">
        <x:f>IF($C411="","",IFERROR(VLOOKUP($C411,Matches!$A$2:$Q$200,5,FALSE),"Unknown"))</x:f>
      </x:c>
      <x:c r="I411" s="60" t="str">
        <x:f>IF($C411="","",IFERROR(VLOOKUP($C411,Matches!$A$2:$Q$200,16,FALSE),""))</x:f>
      </x:c>
      <x:c r="J411" s="18" t="str">
        <x:f>IF($C411="","",IFERROR(VLOOKUP($C411,Matches!$A$2:$Q$200,11,FALSE),""))</x:f>
      </x:c>
      <x:c r="K411" s="18" t="str">
        <x:f>IF($C411="","",IFERROR(VLOOKUP($C411,Matches!$A$2:$Q$200,12,FALSE),""))</x:f>
      </x:c>
      <x:c r="L411" s="18" t="str">
        <x:f>IF($A411="","",IF($C411=1,"Yes",IF(OR($I411="",$A411&lt;$I411),"Yes","Late")))</x:f>
      </x:c>
      <x:c r="M411" s="66" t="str">
        <x:f>IF($A411="","",IF($L411&lt;&gt;"Yes",0,IF($E411="",0,IF($J411="",0,IF($H411="Group",IF($E411=$J411,Setup!$H$2,Setup!$H$3),IF($E411=$K411,Setup!$H$2,Setup!$H$3))))))</x:f>
      </x:c>
      <x:c r="N411" s="66" t="str">
        <x:f>IF($A411="","",IF($L411&lt;&gt;"Yes",0,IF(OR($F411="",$G411=""),0,IF(AND($F411=VLOOKUP($C411,Matches!$A$2:$Q$200,9,FALSE),$G411=VLOOKUP($C411,Matches!$A$2:$Q$200,10,FALSE)),Setup!$H$5,0))))</x:f>
      </x:c>
      <x:c r="O411" s="66" t="str">
        <x:f>IF($A411="","",$M411+$N411)</x:f>
      </x:c>
      <x:c r="P411" s="18" t="str">
        <x:f>IF($A411="","",IF($L411="Late","Late - 0 points",IF($J411="","Waiting for result",IF($O411&gt;0,"Scored",IF($O411&lt;0,"Wrong pick","No points")))))</x:f>
      </x:c>
    </x:row>
    <x:row r="412">
      <x:c r="A412" s="60" t="n">
        <x:f>'Form Responses 1'!A412</x:f>
        <x:v>0</x:v>
      </x:c>
      <x:c r="B412" s="18" t="n">
        <x:f>'Form Responses 1'!B412</x:f>
        <x:v>0</x:v>
      </x:c>
      <x:c r="C412" s="18" t="n">
        <x:f>'Form Responses 1'!C412</x:f>
        <x:v>0</x:v>
      </x:c>
      <x:c r="D412" s="18" t="n">
        <x:f>'Form Responses 1'!D412</x:f>
        <x:v>0</x:v>
      </x:c>
      <x:c r="E412" s="18" t="n">
        <x:f>'Form Responses 1'!E412</x:f>
        <x:v>0</x:v>
      </x:c>
      <x:c r="F412" s="18" t="n">
        <x:f>'Form Responses 1'!F412</x:f>
        <x:v>0</x:v>
      </x:c>
      <x:c r="G412" s="18" t="n">
        <x:f>'Form Responses 1'!G412</x:f>
        <x:v>0</x:v>
      </x:c>
      <x:c r="H412" s="18" t="str">
        <x:f>IF($C412="","",IFERROR(VLOOKUP($C412,Matches!$A$2:$Q$200,5,FALSE),"Unknown"))</x:f>
      </x:c>
      <x:c r="I412" s="60" t="str">
        <x:f>IF($C412="","",IFERROR(VLOOKUP($C412,Matches!$A$2:$Q$200,16,FALSE),""))</x:f>
      </x:c>
      <x:c r="J412" s="18" t="str">
        <x:f>IF($C412="","",IFERROR(VLOOKUP($C412,Matches!$A$2:$Q$200,11,FALSE),""))</x:f>
      </x:c>
      <x:c r="K412" s="18" t="str">
        <x:f>IF($C412="","",IFERROR(VLOOKUP($C412,Matches!$A$2:$Q$200,12,FALSE),""))</x:f>
      </x:c>
      <x:c r="L412" s="18" t="str">
        <x:f>IF($A412="","",IF($C412=1,"Yes",IF(OR($I412="",$A412&lt;$I412),"Yes","Late")))</x:f>
      </x:c>
      <x:c r="M412" s="66" t="str">
        <x:f>IF($A412="","",IF($L412&lt;&gt;"Yes",0,IF($E412="",0,IF($J412="",0,IF($H412="Group",IF($E412=$J412,Setup!$H$2,Setup!$H$3),IF($E412=$K412,Setup!$H$2,Setup!$H$3))))))</x:f>
      </x:c>
      <x:c r="N412" s="66" t="str">
        <x:f>IF($A412="","",IF($L412&lt;&gt;"Yes",0,IF(OR($F412="",$G412=""),0,IF(AND($F412=VLOOKUP($C412,Matches!$A$2:$Q$200,9,FALSE),$G412=VLOOKUP($C412,Matches!$A$2:$Q$200,10,FALSE)),Setup!$H$5,0))))</x:f>
      </x:c>
      <x:c r="O412" s="66" t="str">
        <x:f>IF($A412="","",$M412+$N412)</x:f>
      </x:c>
      <x:c r="P412" s="18" t="str">
        <x:f>IF($A412="","",IF($L412="Late","Late - 0 points",IF($J412="","Waiting for result",IF($O412&gt;0,"Scored",IF($O412&lt;0,"Wrong pick","No points")))))</x:f>
      </x:c>
    </x:row>
    <x:row r="413">
      <x:c r="A413" s="60" t="n">
        <x:f>'Form Responses 1'!A413</x:f>
        <x:v>0</x:v>
      </x:c>
      <x:c r="B413" s="18" t="n">
        <x:f>'Form Responses 1'!B413</x:f>
        <x:v>0</x:v>
      </x:c>
      <x:c r="C413" s="18" t="n">
        <x:f>'Form Responses 1'!C413</x:f>
        <x:v>0</x:v>
      </x:c>
      <x:c r="D413" s="18" t="n">
        <x:f>'Form Responses 1'!D413</x:f>
        <x:v>0</x:v>
      </x:c>
      <x:c r="E413" s="18" t="n">
        <x:f>'Form Responses 1'!E413</x:f>
        <x:v>0</x:v>
      </x:c>
      <x:c r="F413" s="18" t="n">
        <x:f>'Form Responses 1'!F413</x:f>
        <x:v>0</x:v>
      </x:c>
      <x:c r="G413" s="18" t="n">
        <x:f>'Form Responses 1'!G413</x:f>
        <x:v>0</x:v>
      </x:c>
      <x:c r="H413" s="18" t="str">
        <x:f>IF($C413="","",IFERROR(VLOOKUP($C413,Matches!$A$2:$Q$200,5,FALSE),"Unknown"))</x:f>
      </x:c>
      <x:c r="I413" s="60" t="str">
        <x:f>IF($C413="","",IFERROR(VLOOKUP($C413,Matches!$A$2:$Q$200,16,FALSE),""))</x:f>
      </x:c>
      <x:c r="J413" s="18" t="str">
        <x:f>IF($C413="","",IFERROR(VLOOKUP($C413,Matches!$A$2:$Q$200,11,FALSE),""))</x:f>
      </x:c>
      <x:c r="K413" s="18" t="str">
        <x:f>IF($C413="","",IFERROR(VLOOKUP($C413,Matches!$A$2:$Q$200,12,FALSE),""))</x:f>
      </x:c>
      <x:c r="L413" s="18" t="str">
        <x:f>IF($A413="","",IF($C413=1,"Yes",IF(OR($I413="",$A413&lt;$I413),"Yes","Late")))</x:f>
      </x:c>
      <x:c r="M413" s="66" t="str">
        <x:f>IF($A413="","",IF($L413&lt;&gt;"Yes",0,IF($E413="",0,IF($J413="",0,IF($H413="Group",IF($E413=$J413,Setup!$H$2,Setup!$H$3),IF($E413=$K413,Setup!$H$2,Setup!$H$3))))))</x:f>
      </x:c>
      <x:c r="N413" s="66" t="str">
        <x:f>IF($A413="","",IF($L413&lt;&gt;"Yes",0,IF(OR($F413="",$G413=""),0,IF(AND($F413=VLOOKUP($C413,Matches!$A$2:$Q$200,9,FALSE),$G413=VLOOKUP($C413,Matches!$A$2:$Q$200,10,FALSE)),Setup!$H$5,0))))</x:f>
      </x:c>
      <x:c r="O413" s="66" t="str">
        <x:f>IF($A413="","",$M413+$N413)</x:f>
      </x:c>
      <x:c r="P413" s="18" t="str">
        <x:f>IF($A413="","",IF($L413="Late","Late - 0 points",IF($J413="","Waiting for result",IF($O413&gt;0,"Scored",IF($O413&lt;0,"Wrong pick","No points")))))</x:f>
      </x:c>
    </x:row>
    <x:row r="414">
      <x:c r="A414" s="60" t="n">
        <x:f>'Form Responses 1'!A414</x:f>
        <x:v>0</x:v>
      </x:c>
      <x:c r="B414" s="18" t="n">
        <x:f>'Form Responses 1'!B414</x:f>
        <x:v>0</x:v>
      </x:c>
      <x:c r="C414" s="18" t="n">
        <x:f>'Form Responses 1'!C414</x:f>
        <x:v>0</x:v>
      </x:c>
      <x:c r="D414" s="18" t="n">
        <x:f>'Form Responses 1'!D414</x:f>
        <x:v>0</x:v>
      </x:c>
      <x:c r="E414" s="18" t="n">
        <x:f>'Form Responses 1'!E414</x:f>
        <x:v>0</x:v>
      </x:c>
      <x:c r="F414" s="18" t="n">
        <x:f>'Form Responses 1'!F414</x:f>
        <x:v>0</x:v>
      </x:c>
      <x:c r="G414" s="18" t="n">
        <x:f>'Form Responses 1'!G414</x:f>
        <x:v>0</x:v>
      </x:c>
      <x:c r="H414" s="18" t="str">
        <x:f>IF($C414="","",IFERROR(VLOOKUP($C414,Matches!$A$2:$Q$200,5,FALSE),"Unknown"))</x:f>
      </x:c>
      <x:c r="I414" s="60" t="str">
        <x:f>IF($C414="","",IFERROR(VLOOKUP($C414,Matches!$A$2:$Q$200,16,FALSE),""))</x:f>
      </x:c>
      <x:c r="J414" s="18" t="str">
        <x:f>IF($C414="","",IFERROR(VLOOKUP($C414,Matches!$A$2:$Q$200,11,FALSE),""))</x:f>
      </x:c>
      <x:c r="K414" s="18" t="str">
        <x:f>IF($C414="","",IFERROR(VLOOKUP($C414,Matches!$A$2:$Q$200,12,FALSE),""))</x:f>
      </x:c>
      <x:c r="L414" s="18" t="str">
        <x:f>IF($A414="","",IF($C414=1,"Yes",IF(OR($I414="",$A414&lt;$I414),"Yes","Late")))</x:f>
      </x:c>
      <x:c r="M414" s="66" t="str">
        <x:f>IF($A414="","",IF($L414&lt;&gt;"Yes",0,IF($E414="",0,IF($J414="",0,IF($H414="Group",IF($E414=$J414,Setup!$H$2,Setup!$H$3),IF($E414=$K414,Setup!$H$2,Setup!$H$3))))))</x:f>
      </x:c>
      <x:c r="N414" s="66" t="str">
        <x:f>IF($A414="","",IF($L414&lt;&gt;"Yes",0,IF(OR($F414="",$G414=""),0,IF(AND($F414=VLOOKUP($C414,Matches!$A$2:$Q$200,9,FALSE),$G414=VLOOKUP($C414,Matches!$A$2:$Q$200,10,FALSE)),Setup!$H$5,0))))</x:f>
      </x:c>
      <x:c r="O414" s="66" t="str">
        <x:f>IF($A414="","",$M414+$N414)</x:f>
      </x:c>
      <x:c r="P414" s="18" t="str">
        <x:f>IF($A414="","",IF($L414="Late","Late - 0 points",IF($J414="","Waiting for result",IF($O414&gt;0,"Scored",IF($O414&lt;0,"Wrong pick","No points")))))</x:f>
      </x:c>
    </x:row>
    <x:row r="415">
      <x:c r="A415" s="60" t="n">
        <x:f>'Form Responses 1'!A415</x:f>
        <x:v>0</x:v>
      </x:c>
      <x:c r="B415" s="18" t="n">
        <x:f>'Form Responses 1'!B415</x:f>
        <x:v>0</x:v>
      </x:c>
      <x:c r="C415" s="18" t="n">
        <x:f>'Form Responses 1'!C415</x:f>
        <x:v>0</x:v>
      </x:c>
      <x:c r="D415" s="18" t="n">
        <x:f>'Form Responses 1'!D415</x:f>
        <x:v>0</x:v>
      </x:c>
      <x:c r="E415" s="18" t="n">
        <x:f>'Form Responses 1'!E415</x:f>
        <x:v>0</x:v>
      </x:c>
      <x:c r="F415" s="18" t="n">
        <x:f>'Form Responses 1'!F415</x:f>
        <x:v>0</x:v>
      </x:c>
      <x:c r="G415" s="18" t="n">
        <x:f>'Form Responses 1'!G415</x:f>
        <x:v>0</x:v>
      </x:c>
      <x:c r="H415" s="18" t="str">
        <x:f>IF($C415="","",IFERROR(VLOOKUP($C415,Matches!$A$2:$Q$200,5,FALSE),"Unknown"))</x:f>
      </x:c>
      <x:c r="I415" s="60" t="str">
        <x:f>IF($C415="","",IFERROR(VLOOKUP($C415,Matches!$A$2:$Q$200,16,FALSE),""))</x:f>
      </x:c>
      <x:c r="J415" s="18" t="str">
        <x:f>IF($C415="","",IFERROR(VLOOKUP($C415,Matches!$A$2:$Q$200,11,FALSE),""))</x:f>
      </x:c>
      <x:c r="K415" s="18" t="str">
        <x:f>IF($C415="","",IFERROR(VLOOKUP($C415,Matches!$A$2:$Q$200,12,FALSE),""))</x:f>
      </x:c>
      <x:c r="L415" s="18" t="str">
        <x:f>IF($A415="","",IF($C415=1,"Yes",IF(OR($I415="",$A415&lt;$I415),"Yes","Late")))</x:f>
      </x:c>
      <x:c r="M415" s="66" t="str">
        <x:f>IF($A415="","",IF($L415&lt;&gt;"Yes",0,IF($E415="",0,IF($J415="",0,IF($H415="Group",IF($E415=$J415,Setup!$H$2,Setup!$H$3),IF($E415=$K415,Setup!$H$2,Setup!$H$3))))))</x:f>
      </x:c>
      <x:c r="N415" s="66" t="str">
        <x:f>IF($A415="","",IF($L415&lt;&gt;"Yes",0,IF(OR($F415="",$G415=""),0,IF(AND($F415=VLOOKUP($C415,Matches!$A$2:$Q$200,9,FALSE),$G415=VLOOKUP($C415,Matches!$A$2:$Q$200,10,FALSE)),Setup!$H$5,0))))</x:f>
      </x:c>
      <x:c r="O415" s="66" t="str">
        <x:f>IF($A415="","",$M415+$N415)</x:f>
      </x:c>
      <x:c r="P415" s="18" t="str">
        <x:f>IF($A415="","",IF($L415="Late","Late - 0 points",IF($J415="","Waiting for result",IF($O415&gt;0,"Scored",IF($O415&lt;0,"Wrong pick","No points")))))</x:f>
      </x:c>
    </x:row>
    <x:row r="416">
      <x:c r="A416" s="60" t="n">
        <x:f>'Form Responses 1'!A416</x:f>
        <x:v>0</x:v>
      </x:c>
      <x:c r="B416" s="18" t="n">
        <x:f>'Form Responses 1'!B416</x:f>
        <x:v>0</x:v>
      </x:c>
      <x:c r="C416" s="18" t="n">
        <x:f>'Form Responses 1'!C416</x:f>
        <x:v>0</x:v>
      </x:c>
      <x:c r="D416" s="18" t="n">
        <x:f>'Form Responses 1'!D416</x:f>
        <x:v>0</x:v>
      </x:c>
      <x:c r="E416" s="18" t="n">
        <x:f>'Form Responses 1'!E416</x:f>
        <x:v>0</x:v>
      </x:c>
      <x:c r="F416" s="18" t="n">
        <x:f>'Form Responses 1'!F416</x:f>
        <x:v>0</x:v>
      </x:c>
      <x:c r="G416" s="18" t="n">
        <x:f>'Form Responses 1'!G416</x:f>
        <x:v>0</x:v>
      </x:c>
      <x:c r="H416" s="18" t="str">
        <x:f>IF($C416="","",IFERROR(VLOOKUP($C416,Matches!$A$2:$Q$200,5,FALSE),"Unknown"))</x:f>
      </x:c>
      <x:c r="I416" s="60" t="str">
        <x:f>IF($C416="","",IFERROR(VLOOKUP($C416,Matches!$A$2:$Q$200,16,FALSE),""))</x:f>
      </x:c>
      <x:c r="J416" s="18" t="str">
        <x:f>IF($C416="","",IFERROR(VLOOKUP($C416,Matches!$A$2:$Q$200,11,FALSE),""))</x:f>
      </x:c>
      <x:c r="K416" s="18" t="str">
        <x:f>IF($C416="","",IFERROR(VLOOKUP($C416,Matches!$A$2:$Q$200,12,FALSE),""))</x:f>
      </x:c>
      <x:c r="L416" s="18" t="str">
        <x:f>IF($A416="","",IF($C416=1,"Yes",IF(OR($I416="",$A416&lt;$I416),"Yes","Late")))</x:f>
      </x:c>
      <x:c r="M416" s="66" t="str">
        <x:f>IF($A416="","",IF($L416&lt;&gt;"Yes",0,IF($E416="",0,IF($J416="",0,IF($H416="Group",IF($E416=$J416,Setup!$H$2,Setup!$H$3),IF($E416=$K416,Setup!$H$2,Setup!$H$3))))))</x:f>
      </x:c>
      <x:c r="N416" s="66" t="str">
        <x:f>IF($A416="","",IF($L416&lt;&gt;"Yes",0,IF(OR($F416="",$G416=""),0,IF(AND($F416=VLOOKUP($C416,Matches!$A$2:$Q$200,9,FALSE),$G416=VLOOKUP($C416,Matches!$A$2:$Q$200,10,FALSE)),Setup!$H$5,0))))</x:f>
      </x:c>
      <x:c r="O416" s="66" t="str">
        <x:f>IF($A416="","",$M416+$N416)</x:f>
      </x:c>
      <x:c r="P416" s="18" t="str">
        <x:f>IF($A416="","",IF($L416="Late","Late - 0 points",IF($J416="","Waiting for result",IF($O416&gt;0,"Scored",IF($O416&lt;0,"Wrong pick","No points")))))</x:f>
      </x:c>
    </x:row>
    <x:row r="417">
      <x:c r="A417" s="60" t="n">
        <x:f>'Form Responses 1'!A417</x:f>
        <x:v>0</x:v>
      </x:c>
      <x:c r="B417" s="18" t="n">
        <x:f>'Form Responses 1'!B417</x:f>
        <x:v>0</x:v>
      </x:c>
      <x:c r="C417" s="18" t="n">
        <x:f>'Form Responses 1'!C417</x:f>
        <x:v>0</x:v>
      </x:c>
      <x:c r="D417" s="18" t="n">
        <x:f>'Form Responses 1'!D417</x:f>
        <x:v>0</x:v>
      </x:c>
      <x:c r="E417" s="18" t="n">
        <x:f>'Form Responses 1'!E417</x:f>
        <x:v>0</x:v>
      </x:c>
      <x:c r="F417" s="18" t="n">
        <x:f>'Form Responses 1'!F417</x:f>
        <x:v>0</x:v>
      </x:c>
      <x:c r="G417" s="18" t="n">
        <x:f>'Form Responses 1'!G417</x:f>
        <x:v>0</x:v>
      </x:c>
      <x:c r="H417" s="18" t="str">
        <x:f>IF($C417="","",IFERROR(VLOOKUP($C417,Matches!$A$2:$Q$200,5,FALSE),"Unknown"))</x:f>
      </x:c>
      <x:c r="I417" s="60" t="str">
        <x:f>IF($C417="","",IFERROR(VLOOKUP($C417,Matches!$A$2:$Q$200,16,FALSE),""))</x:f>
      </x:c>
      <x:c r="J417" s="18" t="str">
        <x:f>IF($C417="","",IFERROR(VLOOKUP($C417,Matches!$A$2:$Q$200,11,FALSE),""))</x:f>
      </x:c>
      <x:c r="K417" s="18" t="str">
        <x:f>IF($C417="","",IFERROR(VLOOKUP($C417,Matches!$A$2:$Q$200,12,FALSE),""))</x:f>
      </x:c>
      <x:c r="L417" s="18" t="str">
        <x:f>IF($A417="","",IF($C417=1,"Yes",IF(OR($I417="",$A417&lt;$I417),"Yes","Late")))</x:f>
      </x:c>
      <x:c r="M417" s="66" t="str">
        <x:f>IF($A417="","",IF($L417&lt;&gt;"Yes",0,IF($E417="",0,IF($J417="",0,IF($H417="Group",IF($E417=$J417,Setup!$H$2,Setup!$H$3),IF($E417=$K417,Setup!$H$2,Setup!$H$3))))))</x:f>
      </x:c>
      <x:c r="N417" s="66" t="str">
        <x:f>IF($A417="","",IF($L417&lt;&gt;"Yes",0,IF(OR($F417="",$G417=""),0,IF(AND($F417=VLOOKUP($C417,Matches!$A$2:$Q$200,9,FALSE),$G417=VLOOKUP($C417,Matches!$A$2:$Q$200,10,FALSE)),Setup!$H$5,0))))</x:f>
      </x:c>
      <x:c r="O417" s="66" t="str">
        <x:f>IF($A417="","",$M417+$N417)</x:f>
      </x:c>
      <x:c r="P417" s="18" t="str">
        <x:f>IF($A417="","",IF($L417="Late","Late - 0 points",IF($J417="","Waiting for result",IF($O417&gt;0,"Scored",IF($O417&lt;0,"Wrong pick","No points")))))</x:f>
      </x:c>
    </x:row>
    <x:row r="418">
      <x:c r="A418" s="60" t="n">
        <x:f>'Form Responses 1'!A418</x:f>
        <x:v>0</x:v>
      </x:c>
      <x:c r="B418" s="18" t="n">
        <x:f>'Form Responses 1'!B418</x:f>
        <x:v>0</x:v>
      </x:c>
      <x:c r="C418" s="18" t="n">
        <x:f>'Form Responses 1'!C418</x:f>
        <x:v>0</x:v>
      </x:c>
      <x:c r="D418" s="18" t="n">
        <x:f>'Form Responses 1'!D418</x:f>
        <x:v>0</x:v>
      </x:c>
      <x:c r="E418" s="18" t="n">
        <x:f>'Form Responses 1'!E418</x:f>
        <x:v>0</x:v>
      </x:c>
      <x:c r="F418" s="18" t="n">
        <x:f>'Form Responses 1'!F418</x:f>
        <x:v>0</x:v>
      </x:c>
      <x:c r="G418" s="18" t="n">
        <x:f>'Form Responses 1'!G418</x:f>
        <x:v>0</x:v>
      </x:c>
      <x:c r="H418" s="18" t="str">
        <x:f>IF($C418="","",IFERROR(VLOOKUP($C418,Matches!$A$2:$Q$200,5,FALSE),"Unknown"))</x:f>
      </x:c>
      <x:c r="I418" s="60" t="str">
        <x:f>IF($C418="","",IFERROR(VLOOKUP($C418,Matches!$A$2:$Q$200,16,FALSE),""))</x:f>
      </x:c>
      <x:c r="J418" s="18" t="str">
        <x:f>IF($C418="","",IFERROR(VLOOKUP($C418,Matches!$A$2:$Q$200,11,FALSE),""))</x:f>
      </x:c>
      <x:c r="K418" s="18" t="str">
        <x:f>IF($C418="","",IFERROR(VLOOKUP($C418,Matches!$A$2:$Q$200,12,FALSE),""))</x:f>
      </x:c>
      <x:c r="L418" s="18" t="str">
        <x:f>IF($A418="","",IF($C418=1,"Yes",IF(OR($I418="",$A418&lt;$I418),"Yes","Late")))</x:f>
      </x:c>
      <x:c r="M418" s="66" t="str">
        <x:f>IF($A418="","",IF($L418&lt;&gt;"Yes",0,IF($E418="",0,IF($J418="",0,IF($H418="Group",IF($E418=$J418,Setup!$H$2,Setup!$H$3),IF($E418=$K418,Setup!$H$2,Setup!$H$3))))))</x:f>
      </x:c>
      <x:c r="N418" s="66" t="str">
        <x:f>IF($A418="","",IF($L418&lt;&gt;"Yes",0,IF(OR($F418="",$G418=""),0,IF(AND($F418=VLOOKUP($C418,Matches!$A$2:$Q$200,9,FALSE),$G418=VLOOKUP($C418,Matches!$A$2:$Q$200,10,FALSE)),Setup!$H$5,0))))</x:f>
      </x:c>
      <x:c r="O418" s="66" t="str">
        <x:f>IF($A418="","",$M418+$N418)</x:f>
      </x:c>
      <x:c r="P418" s="18" t="str">
        <x:f>IF($A418="","",IF($L418="Late","Late - 0 points",IF($J418="","Waiting for result",IF($O418&gt;0,"Scored",IF($O418&lt;0,"Wrong pick","No points")))))</x:f>
      </x:c>
    </x:row>
    <x:row r="419">
      <x:c r="A419" s="60" t="n">
        <x:f>'Form Responses 1'!A419</x:f>
        <x:v>0</x:v>
      </x:c>
      <x:c r="B419" s="18" t="n">
        <x:f>'Form Responses 1'!B419</x:f>
        <x:v>0</x:v>
      </x:c>
      <x:c r="C419" s="18" t="n">
        <x:f>'Form Responses 1'!C419</x:f>
        <x:v>0</x:v>
      </x:c>
      <x:c r="D419" s="18" t="n">
        <x:f>'Form Responses 1'!D419</x:f>
        <x:v>0</x:v>
      </x:c>
      <x:c r="E419" s="18" t="n">
        <x:f>'Form Responses 1'!E419</x:f>
        <x:v>0</x:v>
      </x:c>
      <x:c r="F419" s="18" t="n">
        <x:f>'Form Responses 1'!F419</x:f>
        <x:v>0</x:v>
      </x:c>
      <x:c r="G419" s="18" t="n">
        <x:f>'Form Responses 1'!G419</x:f>
        <x:v>0</x:v>
      </x:c>
      <x:c r="H419" s="18" t="str">
        <x:f>IF($C419="","",IFERROR(VLOOKUP($C419,Matches!$A$2:$Q$200,5,FALSE),"Unknown"))</x:f>
      </x:c>
      <x:c r="I419" s="60" t="str">
        <x:f>IF($C419="","",IFERROR(VLOOKUP($C419,Matches!$A$2:$Q$200,16,FALSE),""))</x:f>
      </x:c>
      <x:c r="J419" s="18" t="str">
        <x:f>IF($C419="","",IFERROR(VLOOKUP($C419,Matches!$A$2:$Q$200,11,FALSE),""))</x:f>
      </x:c>
      <x:c r="K419" s="18" t="str">
        <x:f>IF($C419="","",IFERROR(VLOOKUP($C419,Matches!$A$2:$Q$200,12,FALSE),""))</x:f>
      </x:c>
      <x:c r="L419" s="18" t="str">
        <x:f>IF($A419="","",IF($C419=1,"Yes",IF(OR($I419="",$A419&lt;$I419),"Yes","Late")))</x:f>
      </x:c>
      <x:c r="M419" s="66" t="str">
        <x:f>IF($A419="","",IF($L419&lt;&gt;"Yes",0,IF($E419="",0,IF($J419="",0,IF($H419="Group",IF($E419=$J419,Setup!$H$2,Setup!$H$3),IF($E419=$K419,Setup!$H$2,Setup!$H$3))))))</x:f>
      </x:c>
      <x:c r="N419" s="66" t="str">
        <x:f>IF($A419="","",IF($L419&lt;&gt;"Yes",0,IF(OR($F419="",$G419=""),0,IF(AND($F419=VLOOKUP($C419,Matches!$A$2:$Q$200,9,FALSE),$G419=VLOOKUP($C419,Matches!$A$2:$Q$200,10,FALSE)),Setup!$H$5,0))))</x:f>
      </x:c>
      <x:c r="O419" s="66" t="str">
        <x:f>IF($A419="","",$M419+$N419)</x:f>
      </x:c>
      <x:c r="P419" s="18" t="str">
        <x:f>IF($A419="","",IF($L419="Late","Late - 0 points",IF($J419="","Waiting for result",IF($O419&gt;0,"Scored",IF($O419&lt;0,"Wrong pick","No points")))))</x:f>
      </x:c>
    </x:row>
    <x:row r="420">
      <x:c r="A420" s="60" t="n">
        <x:f>'Form Responses 1'!A420</x:f>
        <x:v>0</x:v>
      </x:c>
      <x:c r="B420" s="18" t="n">
        <x:f>'Form Responses 1'!B420</x:f>
        <x:v>0</x:v>
      </x:c>
      <x:c r="C420" s="18" t="n">
        <x:f>'Form Responses 1'!C420</x:f>
        <x:v>0</x:v>
      </x:c>
      <x:c r="D420" s="18" t="n">
        <x:f>'Form Responses 1'!D420</x:f>
        <x:v>0</x:v>
      </x:c>
      <x:c r="E420" s="18" t="n">
        <x:f>'Form Responses 1'!E420</x:f>
        <x:v>0</x:v>
      </x:c>
      <x:c r="F420" s="18" t="n">
        <x:f>'Form Responses 1'!F420</x:f>
        <x:v>0</x:v>
      </x:c>
      <x:c r="G420" s="18" t="n">
        <x:f>'Form Responses 1'!G420</x:f>
        <x:v>0</x:v>
      </x:c>
      <x:c r="H420" s="18" t="str">
        <x:f>IF($C420="","",IFERROR(VLOOKUP($C420,Matches!$A$2:$Q$200,5,FALSE),"Unknown"))</x:f>
      </x:c>
      <x:c r="I420" s="60" t="str">
        <x:f>IF($C420="","",IFERROR(VLOOKUP($C420,Matches!$A$2:$Q$200,16,FALSE),""))</x:f>
      </x:c>
      <x:c r="J420" s="18" t="str">
        <x:f>IF($C420="","",IFERROR(VLOOKUP($C420,Matches!$A$2:$Q$200,11,FALSE),""))</x:f>
      </x:c>
      <x:c r="K420" s="18" t="str">
        <x:f>IF($C420="","",IFERROR(VLOOKUP($C420,Matches!$A$2:$Q$200,12,FALSE),""))</x:f>
      </x:c>
      <x:c r="L420" s="18" t="str">
        <x:f>IF($A420="","",IF($C420=1,"Yes",IF(OR($I420="",$A420&lt;$I420),"Yes","Late")))</x:f>
      </x:c>
      <x:c r="M420" s="66" t="str">
        <x:f>IF($A420="","",IF($L420&lt;&gt;"Yes",0,IF($E420="",0,IF($J420="",0,IF($H420="Group",IF($E420=$J420,Setup!$H$2,Setup!$H$3),IF($E420=$K420,Setup!$H$2,Setup!$H$3))))))</x:f>
      </x:c>
      <x:c r="N420" s="66" t="str">
        <x:f>IF($A420="","",IF($L420&lt;&gt;"Yes",0,IF(OR($F420="",$G420=""),0,IF(AND($F420=VLOOKUP($C420,Matches!$A$2:$Q$200,9,FALSE),$G420=VLOOKUP($C420,Matches!$A$2:$Q$200,10,FALSE)),Setup!$H$5,0))))</x:f>
      </x:c>
      <x:c r="O420" s="66" t="str">
        <x:f>IF($A420="","",$M420+$N420)</x:f>
      </x:c>
      <x:c r="P420" s="18" t="str">
        <x:f>IF($A420="","",IF($L420="Late","Late - 0 points",IF($J420="","Waiting for result",IF($O420&gt;0,"Scored",IF($O420&lt;0,"Wrong pick","No points")))))</x:f>
      </x:c>
    </x:row>
    <x:row r="421">
      <x:c r="A421" s="60" t="n">
        <x:f>'Form Responses 1'!A421</x:f>
        <x:v>0</x:v>
      </x:c>
      <x:c r="B421" s="18" t="n">
        <x:f>'Form Responses 1'!B421</x:f>
        <x:v>0</x:v>
      </x:c>
      <x:c r="C421" s="18" t="n">
        <x:f>'Form Responses 1'!C421</x:f>
        <x:v>0</x:v>
      </x:c>
      <x:c r="D421" s="18" t="n">
        <x:f>'Form Responses 1'!D421</x:f>
        <x:v>0</x:v>
      </x:c>
      <x:c r="E421" s="18" t="n">
        <x:f>'Form Responses 1'!E421</x:f>
        <x:v>0</x:v>
      </x:c>
      <x:c r="F421" s="18" t="n">
        <x:f>'Form Responses 1'!F421</x:f>
        <x:v>0</x:v>
      </x:c>
      <x:c r="G421" s="18" t="n">
        <x:f>'Form Responses 1'!G421</x:f>
        <x:v>0</x:v>
      </x:c>
      <x:c r="H421" s="18" t="str">
        <x:f>IF($C421="","",IFERROR(VLOOKUP($C421,Matches!$A$2:$Q$200,5,FALSE),"Unknown"))</x:f>
      </x:c>
      <x:c r="I421" s="60" t="str">
        <x:f>IF($C421="","",IFERROR(VLOOKUP($C421,Matches!$A$2:$Q$200,16,FALSE),""))</x:f>
      </x:c>
      <x:c r="J421" s="18" t="str">
        <x:f>IF($C421="","",IFERROR(VLOOKUP($C421,Matches!$A$2:$Q$200,11,FALSE),""))</x:f>
      </x:c>
      <x:c r="K421" s="18" t="str">
        <x:f>IF($C421="","",IFERROR(VLOOKUP($C421,Matches!$A$2:$Q$200,12,FALSE),""))</x:f>
      </x:c>
      <x:c r="L421" s="18" t="str">
        <x:f>IF($A421="","",IF($C421=1,"Yes",IF(OR($I421="",$A421&lt;$I421),"Yes","Late")))</x:f>
      </x:c>
      <x:c r="M421" s="66" t="str">
        <x:f>IF($A421="","",IF($L421&lt;&gt;"Yes",0,IF($E421="",0,IF($J421="",0,IF($H421="Group",IF($E421=$J421,Setup!$H$2,Setup!$H$3),IF($E421=$K421,Setup!$H$2,Setup!$H$3))))))</x:f>
      </x:c>
      <x:c r="N421" s="66" t="str">
        <x:f>IF($A421="","",IF($L421&lt;&gt;"Yes",0,IF(OR($F421="",$G421=""),0,IF(AND($F421=VLOOKUP($C421,Matches!$A$2:$Q$200,9,FALSE),$G421=VLOOKUP($C421,Matches!$A$2:$Q$200,10,FALSE)),Setup!$H$5,0))))</x:f>
      </x:c>
      <x:c r="O421" s="66" t="str">
        <x:f>IF($A421="","",$M421+$N421)</x:f>
      </x:c>
      <x:c r="P421" s="18" t="str">
        <x:f>IF($A421="","",IF($L421="Late","Late - 0 points",IF($J421="","Waiting for result",IF($O421&gt;0,"Scored",IF($O421&lt;0,"Wrong pick","No points")))))</x:f>
      </x:c>
    </x:row>
    <x:row r="422">
      <x:c r="A422" s="60" t="n">
        <x:f>'Form Responses 1'!A422</x:f>
        <x:v>0</x:v>
      </x:c>
      <x:c r="B422" s="18" t="n">
        <x:f>'Form Responses 1'!B422</x:f>
        <x:v>0</x:v>
      </x:c>
      <x:c r="C422" s="18" t="n">
        <x:f>'Form Responses 1'!C422</x:f>
        <x:v>0</x:v>
      </x:c>
      <x:c r="D422" s="18" t="n">
        <x:f>'Form Responses 1'!D422</x:f>
        <x:v>0</x:v>
      </x:c>
      <x:c r="E422" s="18" t="n">
        <x:f>'Form Responses 1'!E422</x:f>
        <x:v>0</x:v>
      </x:c>
      <x:c r="F422" s="18" t="n">
        <x:f>'Form Responses 1'!F422</x:f>
        <x:v>0</x:v>
      </x:c>
      <x:c r="G422" s="18" t="n">
        <x:f>'Form Responses 1'!G422</x:f>
        <x:v>0</x:v>
      </x:c>
      <x:c r="H422" s="18" t="str">
        <x:f>IF($C422="","",IFERROR(VLOOKUP($C422,Matches!$A$2:$Q$200,5,FALSE),"Unknown"))</x:f>
      </x:c>
      <x:c r="I422" s="60" t="str">
        <x:f>IF($C422="","",IFERROR(VLOOKUP($C422,Matches!$A$2:$Q$200,16,FALSE),""))</x:f>
      </x:c>
      <x:c r="J422" s="18" t="str">
        <x:f>IF($C422="","",IFERROR(VLOOKUP($C422,Matches!$A$2:$Q$200,11,FALSE),""))</x:f>
      </x:c>
      <x:c r="K422" s="18" t="str">
        <x:f>IF($C422="","",IFERROR(VLOOKUP($C422,Matches!$A$2:$Q$200,12,FALSE),""))</x:f>
      </x:c>
      <x:c r="L422" s="18" t="str">
        <x:f>IF($A422="","",IF($C422=1,"Yes",IF(OR($I422="",$A422&lt;$I422),"Yes","Late")))</x:f>
      </x:c>
      <x:c r="M422" s="66" t="str">
        <x:f>IF($A422="","",IF($L422&lt;&gt;"Yes",0,IF($E422="",0,IF($J422="",0,IF($H422="Group",IF($E422=$J422,Setup!$H$2,Setup!$H$3),IF($E422=$K422,Setup!$H$2,Setup!$H$3))))))</x:f>
      </x:c>
      <x:c r="N422" s="66" t="str">
        <x:f>IF($A422="","",IF($L422&lt;&gt;"Yes",0,IF(OR($F422="",$G422=""),0,IF(AND($F422=VLOOKUP($C422,Matches!$A$2:$Q$200,9,FALSE),$G422=VLOOKUP($C422,Matches!$A$2:$Q$200,10,FALSE)),Setup!$H$5,0))))</x:f>
      </x:c>
      <x:c r="O422" s="66" t="str">
        <x:f>IF($A422="","",$M422+$N422)</x:f>
      </x:c>
      <x:c r="P422" s="18" t="str">
        <x:f>IF($A422="","",IF($L422="Late","Late - 0 points",IF($J422="","Waiting for result",IF($O422&gt;0,"Scored",IF($O422&lt;0,"Wrong pick","No points")))))</x:f>
      </x:c>
    </x:row>
    <x:row r="423">
      <x:c r="A423" s="60" t="n">
        <x:f>'Form Responses 1'!A423</x:f>
        <x:v>0</x:v>
      </x:c>
      <x:c r="B423" s="18" t="n">
        <x:f>'Form Responses 1'!B423</x:f>
        <x:v>0</x:v>
      </x:c>
      <x:c r="C423" s="18" t="n">
        <x:f>'Form Responses 1'!C423</x:f>
        <x:v>0</x:v>
      </x:c>
      <x:c r="D423" s="18" t="n">
        <x:f>'Form Responses 1'!D423</x:f>
        <x:v>0</x:v>
      </x:c>
      <x:c r="E423" s="18" t="n">
        <x:f>'Form Responses 1'!E423</x:f>
        <x:v>0</x:v>
      </x:c>
      <x:c r="F423" s="18" t="n">
        <x:f>'Form Responses 1'!F423</x:f>
        <x:v>0</x:v>
      </x:c>
      <x:c r="G423" s="18" t="n">
        <x:f>'Form Responses 1'!G423</x:f>
        <x:v>0</x:v>
      </x:c>
      <x:c r="H423" s="18" t="str">
        <x:f>IF($C423="","",IFERROR(VLOOKUP($C423,Matches!$A$2:$Q$200,5,FALSE),"Unknown"))</x:f>
      </x:c>
      <x:c r="I423" s="60" t="str">
        <x:f>IF($C423="","",IFERROR(VLOOKUP($C423,Matches!$A$2:$Q$200,16,FALSE),""))</x:f>
      </x:c>
      <x:c r="J423" s="18" t="str">
        <x:f>IF($C423="","",IFERROR(VLOOKUP($C423,Matches!$A$2:$Q$200,11,FALSE),""))</x:f>
      </x:c>
      <x:c r="K423" s="18" t="str">
        <x:f>IF($C423="","",IFERROR(VLOOKUP($C423,Matches!$A$2:$Q$200,12,FALSE),""))</x:f>
      </x:c>
      <x:c r="L423" s="18" t="str">
        <x:f>IF($A423="","",IF($C423=1,"Yes",IF(OR($I423="",$A423&lt;$I423),"Yes","Late")))</x:f>
      </x:c>
      <x:c r="M423" s="66" t="str">
        <x:f>IF($A423="","",IF($L423&lt;&gt;"Yes",0,IF($E423="",0,IF($J423="",0,IF($H423="Group",IF($E423=$J423,Setup!$H$2,Setup!$H$3),IF($E423=$K423,Setup!$H$2,Setup!$H$3))))))</x:f>
      </x:c>
      <x:c r="N423" s="66" t="str">
        <x:f>IF($A423="","",IF($L423&lt;&gt;"Yes",0,IF(OR($F423="",$G423=""),0,IF(AND($F423=VLOOKUP($C423,Matches!$A$2:$Q$200,9,FALSE),$G423=VLOOKUP($C423,Matches!$A$2:$Q$200,10,FALSE)),Setup!$H$5,0))))</x:f>
      </x:c>
      <x:c r="O423" s="66" t="str">
        <x:f>IF($A423="","",$M423+$N423)</x:f>
      </x:c>
      <x:c r="P423" s="18" t="str">
        <x:f>IF($A423="","",IF($L423="Late","Late - 0 points",IF($J423="","Waiting for result",IF($O423&gt;0,"Scored",IF($O423&lt;0,"Wrong pick","No points")))))</x:f>
      </x:c>
    </x:row>
    <x:row r="424">
      <x:c r="A424" s="60" t="n">
        <x:f>'Form Responses 1'!A424</x:f>
        <x:v>0</x:v>
      </x:c>
      <x:c r="B424" s="18" t="n">
        <x:f>'Form Responses 1'!B424</x:f>
        <x:v>0</x:v>
      </x:c>
      <x:c r="C424" s="18" t="n">
        <x:f>'Form Responses 1'!C424</x:f>
        <x:v>0</x:v>
      </x:c>
      <x:c r="D424" s="18" t="n">
        <x:f>'Form Responses 1'!D424</x:f>
        <x:v>0</x:v>
      </x:c>
      <x:c r="E424" s="18" t="n">
        <x:f>'Form Responses 1'!E424</x:f>
        <x:v>0</x:v>
      </x:c>
      <x:c r="F424" s="18" t="n">
        <x:f>'Form Responses 1'!F424</x:f>
        <x:v>0</x:v>
      </x:c>
      <x:c r="G424" s="18" t="n">
        <x:f>'Form Responses 1'!G424</x:f>
        <x:v>0</x:v>
      </x:c>
      <x:c r="H424" s="18" t="str">
        <x:f>IF($C424="","",IFERROR(VLOOKUP($C424,Matches!$A$2:$Q$200,5,FALSE),"Unknown"))</x:f>
      </x:c>
      <x:c r="I424" s="60" t="str">
        <x:f>IF($C424="","",IFERROR(VLOOKUP($C424,Matches!$A$2:$Q$200,16,FALSE),""))</x:f>
      </x:c>
      <x:c r="J424" s="18" t="str">
        <x:f>IF($C424="","",IFERROR(VLOOKUP($C424,Matches!$A$2:$Q$200,11,FALSE),""))</x:f>
      </x:c>
      <x:c r="K424" s="18" t="str">
        <x:f>IF($C424="","",IFERROR(VLOOKUP($C424,Matches!$A$2:$Q$200,12,FALSE),""))</x:f>
      </x:c>
      <x:c r="L424" s="18" t="str">
        <x:f>IF($A424="","",IF($C424=1,"Yes",IF(OR($I424="",$A424&lt;$I424),"Yes","Late")))</x:f>
      </x:c>
      <x:c r="M424" s="66" t="str">
        <x:f>IF($A424="","",IF($L424&lt;&gt;"Yes",0,IF($E424="",0,IF($J424="",0,IF($H424="Group",IF($E424=$J424,Setup!$H$2,Setup!$H$3),IF($E424=$K424,Setup!$H$2,Setup!$H$3))))))</x:f>
      </x:c>
      <x:c r="N424" s="66" t="str">
        <x:f>IF($A424="","",IF($L424&lt;&gt;"Yes",0,IF(OR($F424="",$G424=""),0,IF(AND($F424=VLOOKUP($C424,Matches!$A$2:$Q$200,9,FALSE),$G424=VLOOKUP($C424,Matches!$A$2:$Q$200,10,FALSE)),Setup!$H$5,0))))</x:f>
      </x:c>
      <x:c r="O424" s="66" t="str">
        <x:f>IF($A424="","",$M424+$N424)</x:f>
      </x:c>
      <x:c r="P424" s="18" t="str">
        <x:f>IF($A424="","",IF($L424="Late","Late - 0 points",IF($J424="","Waiting for result",IF($O424&gt;0,"Scored",IF($O424&lt;0,"Wrong pick","No points")))))</x:f>
      </x:c>
    </x:row>
    <x:row r="425">
      <x:c r="A425" s="60" t="n">
        <x:f>'Form Responses 1'!A425</x:f>
        <x:v>0</x:v>
      </x:c>
      <x:c r="B425" s="18" t="n">
        <x:f>'Form Responses 1'!B425</x:f>
        <x:v>0</x:v>
      </x:c>
      <x:c r="C425" s="18" t="n">
        <x:f>'Form Responses 1'!C425</x:f>
        <x:v>0</x:v>
      </x:c>
      <x:c r="D425" s="18" t="n">
        <x:f>'Form Responses 1'!D425</x:f>
        <x:v>0</x:v>
      </x:c>
      <x:c r="E425" s="18" t="n">
        <x:f>'Form Responses 1'!E425</x:f>
        <x:v>0</x:v>
      </x:c>
      <x:c r="F425" s="18" t="n">
        <x:f>'Form Responses 1'!F425</x:f>
        <x:v>0</x:v>
      </x:c>
      <x:c r="G425" s="18" t="n">
        <x:f>'Form Responses 1'!G425</x:f>
        <x:v>0</x:v>
      </x:c>
      <x:c r="H425" s="18" t="str">
        <x:f>IF($C425="","",IFERROR(VLOOKUP($C425,Matches!$A$2:$Q$200,5,FALSE),"Unknown"))</x:f>
      </x:c>
      <x:c r="I425" s="60" t="str">
        <x:f>IF($C425="","",IFERROR(VLOOKUP($C425,Matches!$A$2:$Q$200,16,FALSE),""))</x:f>
      </x:c>
      <x:c r="J425" s="18" t="str">
        <x:f>IF($C425="","",IFERROR(VLOOKUP($C425,Matches!$A$2:$Q$200,11,FALSE),""))</x:f>
      </x:c>
      <x:c r="K425" s="18" t="str">
        <x:f>IF($C425="","",IFERROR(VLOOKUP($C425,Matches!$A$2:$Q$200,12,FALSE),""))</x:f>
      </x:c>
      <x:c r="L425" s="18" t="str">
        <x:f>IF($A425="","",IF($C425=1,"Yes",IF(OR($I425="",$A425&lt;$I425),"Yes","Late")))</x:f>
      </x:c>
      <x:c r="M425" s="66" t="str">
        <x:f>IF($A425="","",IF($L425&lt;&gt;"Yes",0,IF($E425="",0,IF($J425="",0,IF($H425="Group",IF($E425=$J425,Setup!$H$2,Setup!$H$3),IF($E425=$K425,Setup!$H$2,Setup!$H$3))))))</x:f>
      </x:c>
      <x:c r="N425" s="66" t="str">
        <x:f>IF($A425="","",IF($L425&lt;&gt;"Yes",0,IF(OR($F425="",$G425=""),0,IF(AND($F425=VLOOKUP($C425,Matches!$A$2:$Q$200,9,FALSE),$G425=VLOOKUP($C425,Matches!$A$2:$Q$200,10,FALSE)),Setup!$H$5,0))))</x:f>
      </x:c>
      <x:c r="O425" s="66" t="str">
        <x:f>IF($A425="","",$M425+$N425)</x:f>
      </x:c>
      <x:c r="P425" s="18" t="str">
        <x:f>IF($A425="","",IF($L425="Late","Late - 0 points",IF($J425="","Waiting for result",IF($O425&gt;0,"Scored",IF($O425&lt;0,"Wrong pick","No points")))))</x:f>
      </x:c>
    </x:row>
    <x:row r="426">
      <x:c r="A426" s="60" t="n">
        <x:f>'Form Responses 1'!A426</x:f>
        <x:v>0</x:v>
      </x:c>
      <x:c r="B426" s="18" t="n">
        <x:f>'Form Responses 1'!B426</x:f>
        <x:v>0</x:v>
      </x:c>
      <x:c r="C426" s="18" t="n">
        <x:f>'Form Responses 1'!C426</x:f>
        <x:v>0</x:v>
      </x:c>
      <x:c r="D426" s="18" t="n">
        <x:f>'Form Responses 1'!D426</x:f>
        <x:v>0</x:v>
      </x:c>
      <x:c r="E426" s="18" t="n">
        <x:f>'Form Responses 1'!E426</x:f>
        <x:v>0</x:v>
      </x:c>
      <x:c r="F426" s="18" t="n">
        <x:f>'Form Responses 1'!F426</x:f>
        <x:v>0</x:v>
      </x:c>
      <x:c r="G426" s="18" t="n">
        <x:f>'Form Responses 1'!G426</x:f>
        <x:v>0</x:v>
      </x:c>
      <x:c r="H426" s="18" t="str">
        <x:f>IF($C426="","",IFERROR(VLOOKUP($C426,Matches!$A$2:$Q$200,5,FALSE),"Unknown"))</x:f>
      </x:c>
      <x:c r="I426" s="60" t="str">
        <x:f>IF($C426="","",IFERROR(VLOOKUP($C426,Matches!$A$2:$Q$200,16,FALSE),""))</x:f>
      </x:c>
      <x:c r="J426" s="18" t="str">
        <x:f>IF($C426="","",IFERROR(VLOOKUP($C426,Matches!$A$2:$Q$200,11,FALSE),""))</x:f>
      </x:c>
      <x:c r="K426" s="18" t="str">
        <x:f>IF($C426="","",IFERROR(VLOOKUP($C426,Matches!$A$2:$Q$200,12,FALSE),""))</x:f>
      </x:c>
      <x:c r="L426" s="18" t="str">
        <x:f>IF($A426="","",IF($C426=1,"Yes",IF(OR($I426="",$A426&lt;$I426),"Yes","Late")))</x:f>
      </x:c>
      <x:c r="M426" s="66" t="str">
        <x:f>IF($A426="","",IF($L426&lt;&gt;"Yes",0,IF($E426="",0,IF($J426="",0,IF($H426="Group",IF($E426=$J426,Setup!$H$2,Setup!$H$3),IF($E426=$K426,Setup!$H$2,Setup!$H$3))))))</x:f>
      </x:c>
      <x:c r="N426" s="66" t="str">
        <x:f>IF($A426="","",IF($L426&lt;&gt;"Yes",0,IF(OR($F426="",$G426=""),0,IF(AND($F426=VLOOKUP($C426,Matches!$A$2:$Q$200,9,FALSE),$G426=VLOOKUP($C426,Matches!$A$2:$Q$200,10,FALSE)),Setup!$H$5,0))))</x:f>
      </x:c>
      <x:c r="O426" s="66" t="str">
        <x:f>IF($A426="","",$M426+$N426)</x:f>
      </x:c>
      <x:c r="P426" s="18" t="str">
        <x:f>IF($A426="","",IF($L426="Late","Late - 0 points",IF($J426="","Waiting for result",IF($O426&gt;0,"Scored",IF($O426&lt;0,"Wrong pick","No points")))))</x:f>
      </x:c>
    </x:row>
    <x:row r="427">
      <x:c r="A427" s="60" t="n">
        <x:f>'Form Responses 1'!A427</x:f>
        <x:v>0</x:v>
      </x:c>
      <x:c r="B427" s="18" t="n">
        <x:f>'Form Responses 1'!B427</x:f>
        <x:v>0</x:v>
      </x:c>
      <x:c r="C427" s="18" t="n">
        <x:f>'Form Responses 1'!C427</x:f>
        <x:v>0</x:v>
      </x:c>
      <x:c r="D427" s="18" t="n">
        <x:f>'Form Responses 1'!D427</x:f>
        <x:v>0</x:v>
      </x:c>
      <x:c r="E427" s="18" t="n">
        <x:f>'Form Responses 1'!E427</x:f>
        <x:v>0</x:v>
      </x:c>
      <x:c r="F427" s="18" t="n">
        <x:f>'Form Responses 1'!F427</x:f>
        <x:v>0</x:v>
      </x:c>
      <x:c r="G427" s="18" t="n">
        <x:f>'Form Responses 1'!G427</x:f>
        <x:v>0</x:v>
      </x:c>
      <x:c r="H427" s="18" t="str">
        <x:f>IF($C427="","",IFERROR(VLOOKUP($C427,Matches!$A$2:$Q$200,5,FALSE),"Unknown"))</x:f>
      </x:c>
      <x:c r="I427" s="60" t="str">
        <x:f>IF($C427="","",IFERROR(VLOOKUP($C427,Matches!$A$2:$Q$200,16,FALSE),""))</x:f>
      </x:c>
      <x:c r="J427" s="18" t="str">
        <x:f>IF($C427="","",IFERROR(VLOOKUP($C427,Matches!$A$2:$Q$200,11,FALSE),""))</x:f>
      </x:c>
      <x:c r="K427" s="18" t="str">
        <x:f>IF($C427="","",IFERROR(VLOOKUP($C427,Matches!$A$2:$Q$200,12,FALSE),""))</x:f>
      </x:c>
      <x:c r="L427" s="18" t="str">
        <x:f>IF($A427="","",IF($C427=1,"Yes",IF(OR($I427="",$A427&lt;$I427),"Yes","Late")))</x:f>
      </x:c>
      <x:c r="M427" s="66" t="str">
        <x:f>IF($A427="","",IF($L427&lt;&gt;"Yes",0,IF($E427="",0,IF($J427="",0,IF($H427="Group",IF($E427=$J427,Setup!$H$2,Setup!$H$3),IF($E427=$K427,Setup!$H$2,Setup!$H$3))))))</x:f>
      </x:c>
      <x:c r="N427" s="66" t="str">
        <x:f>IF($A427="","",IF($L427&lt;&gt;"Yes",0,IF(OR($F427="",$G427=""),0,IF(AND($F427=VLOOKUP($C427,Matches!$A$2:$Q$200,9,FALSE),$G427=VLOOKUP($C427,Matches!$A$2:$Q$200,10,FALSE)),Setup!$H$5,0))))</x:f>
      </x:c>
      <x:c r="O427" s="66" t="str">
        <x:f>IF($A427="","",$M427+$N427)</x:f>
      </x:c>
      <x:c r="P427" s="18" t="str">
        <x:f>IF($A427="","",IF($L427="Late","Late - 0 points",IF($J427="","Waiting for result",IF($O427&gt;0,"Scored",IF($O427&lt;0,"Wrong pick","No points")))))</x:f>
      </x:c>
    </x:row>
    <x:row r="428">
      <x:c r="A428" s="60" t="n">
        <x:f>'Form Responses 1'!A428</x:f>
        <x:v>0</x:v>
      </x:c>
      <x:c r="B428" s="18" t="n">
        <x:f>'Form Responses 1'!B428</x:f>
        <x:v>0</x:v>
      </x:c>
      <x:c r="C428" s="18" t="n">
        <x:f>'Form Responses 1'!C428</x:f>
        <x:v>0</x:v>
      </x:c>
      <x:c r="D428" s="18" t="n">
        <x:f>'Form Responses 1'!D428</x:f>
        <x:v>0</x:v>
      </x:c>
      <x:c r="E428" s="18" t="n">
        <x:f>'Form Responses 1'!E428</x:f>
        <x:v>0</x:v>
      </x:c>
      <x:c r="F428" s="18" t="n">
        <x:f>'Form Responses 1'!F428</x:f>
        <x:v>0</x:v>
      </x:c>
      <x:c r="G428" s="18" t="n">
        <x:f>'Form Responses 1'!G428</x:f>
        <x:v>0</x:v>
      </x:c>
      <x:c r="H428" s="18" t="str">
        <x:f>IF($C428="","",IFERROR(VLOOKUP($C428,Matches!$A$2:$Q$200,5,FALSE),"Unknown"))</x:f>
      </x:c>
      <x:c r="I428" s="60" t="str">
        <x:f>IF($C428="","",IFERROR(VLOOKUP($C428,Matches!$A$2:$Q$200,16,FALSE),""))</x:f>
      </x:c>
      <x:c r="J428" s="18" t="str">
        <x:f>IF($C428="","",IFERROR(VLOOKUP($C428,Matches!$A$2:$Q$200,11,FALSE),""))</x:f>
      </x:c>
      <x:c r="K428" s="18" t="str">
        <x:f>IF($C428="","",IFERROR(VLOOKUP($C428,Matches!$A$2:$Q$200,12,FALSE),""))</x:f>
      </x:c>
      <x:c r="L428" s="18" t="str">
        <x:f>IF($A428="","",IF($C428=1,"Yes",IF(OR($I428="",$A428&lt;$I428),"Yes","Late")))</x:f>
      </x:c>
      <x:c r="M428" s="66" t="str">
        <x:f>IF($A428="","",IF($L428&lt;&gt;"Yes",0,IF($E428="",0,IF($J428="",0,IF($H428="Group",IF($E428=$J428,Setup!$H$2,Setup!$H$3),IF($E428=$K428,Setup!$H$2,Setup!$H$3))))))</x:f>
      </x:c>
      <x:c r="N428" s="66" t="str">
        <x:f>IF($A428="","",IF($L428&lt;&gt;"Yes",0,IF(OR($F428="",$G428=""),0,IF(AND($F428=VLOOKUP($C428,Matches!$A$2:$Q$200,9,FALSE),$G428=VLOOKUP($C428,Matches!$A$2:$Q$200,10,FALSE)),Setup!$H$5,0))))</x:f>
      </x:c>
      <x:c r="O428" s="66" t="str">
        <x:f>IF($A428="","",$M428+$N428)</x:f>
      </x:c>
      <x:c r="P428" s="18" t="str">
        <x:f>IF($A428="","",IF($L428="Late","Late - 0 points",IF($J428="","Waiting for result",IF($O428&gt;0,"Scored",IF($O428&lt;0,"Wrong pick","No points")))))</x:f>
      </x:c>
    </x:row>
    <x:row r="429">
      <x:c r="A429" s="60" t="n">
        <x:f>'Form Responses 1'!A429</x:f>
        <x:v>0</x:v>
      </x:c>
      <x:c r="B429" s="18" t="n">
        <x:f>'Form Responses 1'!B429</x:f>
        <x:v>0</x:v>
      </x:c>
      <x:c r="C429" s="18" t="n">
        <x:f>'Form Responses 1'!C429</x:f>
        <x:v>0</x:v>
      </x:c>
      <x:c r="D429" s="18" t="n">
        <x:f>'Form Responses 1'!D429</x:f>
        <x:v>0</x:v>
      </x:c>
      <x:c r="E429" s="18" t="n">
        <x:f>'Form Responses 1'!E429</x:f>
        <x:v>0</x:v>
      </x:c>
      <x:c r="F429" s="18" t="n">
        <x:f>'Form Responses 1'!F429</x:f>
        <x:v>0</x:v>
      </x:c>
      <x:c r="G429" s="18" t="n">
        <x:f>'Form Responses 1'!G429</x:f>
        <x:v>0</x:v>
      </x:c>
      <x:c r="H429" s="18" t="str">
        <x:f>IF($C429="","",IFERROR(VLOOKUP($C429,Matches!$A$2:$Q$200,5,FALSE),"Unknown"))</x:f>
      </x:c>
      <x:c r="I429" s="60" t="str">
        <x:f>IF($C429="","",IFERROR(VLOOKUP($C429,Matches!$A$2:$Q$200,16,FALSE),""))</x:f>
      </x:c>
      <x:c r="J429" s="18" t="str">
        <x:f>IF($C429="","",IFERROR(VLOOKUP($C429,Matches!$A$2:$Q$200,11,FALSE),""))</x:f>
      </x:c>
      <x:c r="K429" s="18" t="str">
        <x:f>IF($C429="","",IFERROR(VLOOKUP($C429,Matches!$A$2:$Q$200,12,FALSE),""))</x:f>
      </x:c>
      <x:c r="L429" s="18" t="str">
        <x:f>IF($A429="","",IF($C429=1,"Yes",IF(OR($I429="",$A429&lt;$I429),"Yes","Late")))</x:f>
      </x:c>
      <x:c r="M429" s="66" t="str">
        <x:f>IF($A429="","",IF($L429&lt;&gt;"Yes",0,IF($E429="",0,IF($J429="",0,IF($H429="Group",IF($E429=$J429,Setup!$H$2,Setup!$H$3),IF($E429=$K429,Setup!$H$2,Setup!$H$3))))))</x:f>
      </x:c>
      <x:c r="N429" s="66" t="str">
        <x:f>IF($A429="","",IF($L429&lt;&gt;"Yes",0,IF(OR($F429="",$G429=""),0,IF(AND($F429=VLOOKUP($C429,Matches!$A$2:$Q$200,9,FALSE),$G429=VLOOKUP($C429,Matches!$A$2:$Q$200,10,FALSE)),Setup!$H$5,0))))</x:f>
      </x:c>
      <x:c r="O429" s="66" t="str">
        <x:f>IF($A429="","",$M429+$N429)</x:f>
      </x:c>
      <x:c r="P429" s="18" t="str">
        <x:f>IF($A429="","",IF($L429="Late","Late - 0 points",IF($J429="","Waiting for result",IF($O429&gt;0,"Scored",IF($O429&lt;0,"Wrong pick","No points")))))</x:f>
      </x:c>
    </x:row>
    <x:row r="430">
      <x:c r="A430" s="60" t="n">
        <x:f>'Form Responses 1'!A430</x:f>
        <x:v>0</x:v>
      </x:c>
      <x:c r="B430" s="18" t="n">
        <x:f>'Form Responses 1'!B430</x:f>
        <x:v>0</x:v>
      </x:c>
      <x:c r="C430" s="18" t="n">
        <x:f>'Form Responses 1'!C430</x:f>
        <x:v>0</x:v>
      </x:c>
      <x:c r="D430" s="18" t="n">
        <x:f>'Form Responses 1'!D430</x:f>
        <x:v>0</x:v>
      </x:c>
      <x:c r="E430" s="18" t="n">
        <x:f>'Form Responses 1'!E430</x:f>
        <x:v>0</x:v>
      </x:c>
      <x:c r="F430" s="18" t="n">
        <x:f>'Form Responses 1'!F430</x:f>
        <x:v>0</x:v>
      </x:c>
      <x:c r="G430" s="18" t="n">
        <x:f>'Form Responses 1'!G430</x:f>
        <x:v>0</x:v>
      </x:c>
      <x:c r="H430" s="18" t="str">
        <x:f>IF($C430="","",IFERROR(VLOOKUP($C430,Matches!$A$2:$Q$200,5,FALSE),"Unknown"))</x:f>
      </x:c>
      <x:c r="I430" s="60" t="str">
        <x:f>IF($C430="","",IFERROR(VLOOKUP($C430,Matches!$A$2:$Q$200,16,FALSE),""))</x:f>
      </x:c>
      <x:c r="J430" s="18" t="str">
        <x:f>IF($C430="","",IFERROR(VLOOKUP($C430,Matches!$A$2:$Q$200,11,FALSE),""))</x:f>
      </x:c>
      <x:c r="K430" s="18" t="str">
        <x:f>IF($C430="","",IFERROR(VLOOKUP($C430,Matches!$A$2:$Q$200,12,FALSE),""))</x:f>
      </x:c>
      <x:c r="L430" s="18" t="str">
        <x:f>IF($A430="","",IF($C430=1,"Yes",IF(OR($I430="",$A430&lt;$I430),"Yes","Late")))</x:f>
      </x:c>
      <x:c r="M430" s="66" t="str">
        <x:f>IF($A430="","",IF($L430&lt;&gt;"Yes",0,IF($E430="",0,IF($J430="",0,IF($H430="Group",IF($E430=$J430,Setup!$H$2,Setup!$H$3),IF($E430=$K430,Setup!$H$2,Setup!$H$3))))))</x:f>
      </x:c>
      <x:c r="N430" s="66" t="str">
        <x:f>IF($A430="","",IF($L430&lt;&gt;"Yes",0,IF(OR($F430="",$G430=""),0,IF(AND($F430=VLOOKUP($C430,Matches!$A$2:$Q$200,9,FALSE),$G430=VLOOKUP($C430,Matches!$A$2:$Q$200,10,FALSE)),Setup!$H$5,0))))</x:f>
      </x:c>
      <x:c r="O430" s="66" t="str">
        <x:f>IF($A430="","",$M430+$N430)</x:f>
      </x:c>
      <x:c r="P430" s="18" t="str">
        <x:f>IF($A430="","",IF($L430="Late","Late - 0 points",IF($J430="","Waiting for result",IF($O430&gt;0,"Scored",IF($O430&lt;0,"Wrong pick","No points")))))</x:f>
      </x:c>
    </x:row>
    <x:row r="431">
      <x:c r="A431" s="60" t="n">
        <x:f>'Form Responses 1'!A431</x:f>
        <x:v>0</x:v>
      </x:c>
      <x:c r="B431" s="18" t="n">
        <x:f>'Form Responses 1'!B431</x:f>
        <x:v>0</x:v>
      </x:c>
      <x:c r="C431" s="18" t="n">
        <x:f>'Form Responses 1'!C431</x:f>
        <x:v>0</x:v>
      </x:c>
      <x:c r="D431" s="18" t="n">
        <x:f>'Form Responses 1'!D431</x:f>
        <x:v>0</x:v>
      </x:c>
      <x:c r="E431" s="18" t="n">
        <x:f>'Form Responses 1'!E431</x:f>
        <x:v>0</x:v>
      </x:c>
      <x:c r="F431" s="18" t="n">
        <x:f>'Form Responses 1'!F431</x:f>
        <x:v>0</x:v>
      </x:c>
      <x:c r="G431" s="18" t="n">
        <x:f>'Form Responses 1'!G431</x:f>
        <x:v>0</x:v>
      </x:c>
      <x:c r="H431" s="18" t="str">
        <x:f>IF($C431="","",IFERROR(VLOOKUP($C431,Matches!$A$2:$Q$200,5,FALSE),"Unknown"))</x:f>
      </x:c>
      <x:c r="I431" s="60" t="str">
        <x:f>IF($C431="","",IFERROR(VLOOKUP($C431,Matches!$A$2:$Q$200,16,FALSE),""))</x:f>
      </x:c>
      <x:c r="J431" s="18" t="str">
        <x:f>IF($C431="","",IFERROR(VLOOKUP($C431,Matches!$A$2:$Q$200,11,FALSE),""))</x:f>
      </x:c>
      <x:c r="K431" s="18" t="str">
        <x:f>IF($C431="","",IFERROR(VLOOKUP($C431,Matches!$A$2:$Q$200,12,FALSE),""))</x:f>
      </x:c>
      <x:c r="L431" s="18" t="str">
        <x:f>IF($A431="","",IF($C431=1,"Yes",IF(OR($I431="",$A431&lt;$I431),"Yes","Late")))</x:f>
      </x:c>
      <x:c r="M431" s="66" t="str">
        <x:f>IF($A431="","",IF($L431&lt;&gt;"Yes",0,IF($E431="",0,IF($J431="",0,IF($H431="Group",IF($E431=$J431,Setup!$H$2,Setup!$H$3),IF($E431=$K431,Setup!$H$2,Setup!$H$3))))))</x:f>
      </x:c>
      <x:c r="N431" s="66" t="str">
        <x:f>IF($A431="","",IF($L431&lt;&gt;"Yes",0,IF(OR($F431="",$G431=""),0,IF(AND($F431=VLOOKUP($C431,Matches!$A$2:$Q$200,9,FALSE),$G431=VLOOKUP($C431,Matches!$A$2:$Q$200,10,FALSE)),Setup!$H$5,0))))</x:f>
      </x:c>
      <x:c r="O431" s="66" t="str">
        <x:f>IF($A431="","",$M431+$N431)</x:f>
      </x:c>
      <x:c r="P431" s="18" t="str">
        <x:f>IF($A431="","",IF($L431="Late","Late - 0 points",IF($J431="","Waiting for result",IF($O431&gt;0,"Scored",IF($O431&lt;0,"Wrong pick","No points")))))</x:f>
      </x:c>
    </x:row>
    <x:row r="432">
      <x:c r="A432" s="60" t="n">
        <x:f>'Form Responses 1'!A432</x:f>
        <x:v>0</x:v>
      </x:c>
      <x:c r="B432" s="18" t="n">
        <x:f>'Form Responses 1'!B432</x:f>
        <x:v>0</x:v>
      </x:c>
      <x:c r="C432" s="18" t="n">
        <x:f>'Form Responses 1'!C432</x:f>
        <x:v>0</x:v>
      </x:c>
      <x:c r="D432" s="18" t="n">
        <x:f>'Form Responses 1'!D432</x:f>
        <x:v>0</x:v>
      </x:c>
      <x:c r="E432" s="18" t="n">
        <x:f>'Form Responses 1'!E432</x:f>
        <x:v>0</x:v>
      </x:c>
      <x:c r="F432" s="18" t="n">
        <x:f>'Form Responses 1'!F432</x:f>
        <x:v>0</x:v>
      </x:c>
      <x:c r="G432" s="18" t="n">
        <x:f>'Form Responses 1'!G432</x:f>
        <x:v>0</x:v>
      </x:c>
      <x:c r="H432" s="18" t="str">
        <x:f>IF($C432="","",IFERROR(VLOOKUP($C432,Matches!$A$2:$Q$200,5,FALSE),"Unknown"))</x:f>
      </x:c>
      <x:c r="I432" s="60" t="str">
        <x:f>IF($C432="","",IFERROR(VLOOKUP($C432,Matches!$A$2:$Q$200,16,FALSE),""))</x:f>
      </x:c>
      <x:c r="J432" s="18" t="str">
        <x:f>IF($C432="","",IFERROR(VLOOKUP($C432,Matches!$A$2:$Q$200,11,FALSE),""))</x:f>
      </x:c>
      <x:c r="K432" s="18" t="str">
        <x:f>IF($C432="","",IFERROR(VLOOKUP($C432,Matches!$A$2:$Q$200,12,FALSE),""))</x:f>
      </x:c>
      <x:c r="L432" s="18" t="str">
        <x:f>IF($A432="","",IF($C432=1,"Yes",IF(OR($I432="",$A432&lt;$I432),"Yes","Late")))</x:f>
      </x:c>
      <x:c r="M432" s="66" t="str">
        <x:f>IF($A432="","",IF($L432&lt;&gt;"Yes",0,IF($E432="",0,IF($J432="",0,IF($H432="Group",IF($E432=$J432,Setup!$H$2,Setup!$H$3),IF($E432=$K432,Setup!$H$2,Setup!$H$3))))))</x:f>
      </x:c>
      <x:c r="N432" s="66" t="str">
        <x:f>IF($A432="","",IF($L432&lt;&gt;"Yes",0,IF(OR($F432="",$G432=""),0,IF(AND($F432=VLOOKUP($C432,Matches!$A$2:$Q$200,9,FALSE),$G432=VLOOKUP($C432,Matches!$A$2:$Q$200,10,FALSE)),Setup!$H$5,0))))</x:f>
      </x:c>
      <x:c r="O432" s="66" t="str">
        <x:f>IF($A432="","",$M432+$N432)</x:f>
      </x:c>
      <x:c r="P432" s="18" t="str">
        <x:f>IF($A432="","",IF($L432="Late","Late - 0 points",IF($J432="","Waiting for result",IF($O432&gt;0,"Scored",IF($O432&lt;0,"Wrong pick","No points")))))</x:f>
      </x:c>
    </x:row>
    <x:row r="433">
      <x:c r="A433" s="60" t="n">
        <x:f>'Form Responses 1'!A433</x:f>
        <x:v>0</x:v>
      </x:c>
      <x:c r="B433" s="18" t="n">
        <x:f>'Form Responses 1'!B433</x:f>
        <x:v>0</x:v>
      </x:c>
      <x:c r="C433" s="18" t="n">
        <x:f>'Form Responses 1'!C433</x:f>
        <x:v>0</x:v>
      </x:c>
      <x:c r="D433" s="18" t="n">
        <x:f>'Form Responses 1'!D433</x:f>
        <x:v>0</x:v>
      </x:c>
      <x:c r="E433" s="18" t="n">
        <x:f>'Form Responses 1'!E433</x:f>
        <x:v>0</x:v>
      </x:c>
      <x:c r="F433" s="18" t="n">
        <x:f>'Form Responses 1'!F433</x:f>
        <x:v>0</x:v>
      </x:c>
      <x:c r="G433" s="18" t="n">
        <x:f>'Form Responses 1'!G433</x:f>
        <x:v>0</x:v>
      </x:c>
      <x:c r="H433" s="18" t="str">
        <x:f>IF($C433="","",IFERROR(VLOOKUP($C433,Matches!$A$2:$Q$200,5,FALSE),"Unknown"))</x:f>
      </x:c>
      <x:c r="I433" s="60" t="str">
        <x:f>IF($C433="","",IFERROR(VLOOKUP($C433,Matches!$A$2:$Q$200,16,FALSE),""))</x:f>
      </x:c>
      <x:c r="J433" s="18" t="str">
        <x:f>IF($C433="","",IFERROR(VLOOKUP($C433,Matches!$A$2:$Q$200,11,FALSE),""))</x:f>
      </x:c>
      <x:c r="K433" s="18" t="str">
        <x:f>IF($C433="","",IFERROR(VLOOKUP($C433,Matches!$A$2:$Q$200,12,FALSE),""))</x:f>
      </x:c>
      <x:c r="L433" s="18" t="str">
        <x:f>IF($A433="","",IF($C433=1,"Yes",IF(OR($I433="",$A433&lt;$I433),"Yes","Late")))</x:f>
      </x:c>
      <x:c r="M433" s="66" t="str">
        <x:f>IF($A433="","",IF($L433&lt;&gt;"Yes",0,IF($E433="",0,IF($J433="",0,IF($H433="Group",IF($E433=$J433,Setup!$H$2,Setup!$H$3),IF($E433=$K433,Setup!$H$2,Setup!$H$3))))))</x:f>
      </x:c>
      <x:c r="N433" s="66" t="str">
        <x:f>IF($A433="","",IF($L433&lt;&gt;"Yes",0,IF(OR($F433="",$G433=""),0,IF(AND($F433=VLOOKUP($C433,Matches!$A$2:$Q$200,9,FALSE),$G433=VLOOKUP($C433,Matches!$A$2:$Q$200,10,FALSE)),Setup!$H$5,0))))</x:f>
      </x:c>
      <x:c r="O433" s="66" t="str">
        <x:f>IF($A433="","",$M433+$N433)</x:f>
      </x:c>
      <x:c r="P433" s="18" t="str">
        <x:f>IF($A433="","",IF($L433="Late","Late - 0 points",IF($J433="","Waiting for result",IF($O433&gt;0,"Scored",IF($O433&lt;0,"Wrong pick","No points")))))</x:f>
      </x:c>
    </x:row>
    <x:row r="434">
      <x:c r="A434" s="60" t="n">
        <x:f>'Form Responses 1'!A434</x:f>
        <x:v>0</x:v>
      </x:c>
      <x:c r="B434" s="18" t="n">
        <x:f>'Form Responses 1'!B434</x:f>
        <x:v>0</x:v>
      </x:c>
      <x:c r="C434" s="18" t="n">
        <x:f>'Form Responses 1'!C434</x:f>
        <x:v>0</x:v>
      </x:c>
      <x:c r="D434" s="18" t="n">
        <x:f>'Form Responses 1'!D434</x:f>
        <x:v>0</x:v>
      </x:c>
      <x:c r="E434" s="18" t="n">
        <x:f>'Form Responses 1'!E434</x:f>
        <x:v>0</x:v>
      </x:c>
      <x:c r="F434" s="18" t="n">
        <x:f>'Form Responses 1'!F434</x:f>
        <x:v>0</x:v>
      </x:c>
      <x:c r="G434" s="18" t="n">
        <x:f>'Form Responses 1'!G434</x:f>
        <x:v>0</x:v>
      </x:c>
      <x:c r="H434" s="18" t="str">
        <x:f>IF($C434="","",IFERROR(VLOOKUP($C434,Matches!$A$2:$Q$200,5,FALSE),"Unknown"))</x:f>
      </x:c>
      <x:c r="I434" s="60" t="str">
        <x:f>IF($C434="","",IFERROR(VLOOKUP($C434,Matches!$A$2:$Q$200,16,FALSE),""))</x:f>
      </x:c>
      <x:c r="J434" s="18" t="str">
        <x:f>IF($C434="","",IFERROR(VLOOKUP($C434,Matches!$A$2:$Q$200,11,FALSE),""))</x:f>
      </x:c>
      <x:c r="K434" s="18" t="str">
        <x:f>IF($C434="","",IFERROR(VLOOKUP($C434,Matches!$A$2:$Q$200,12,FALSE),""))</x:f>
      </x:c>
      <x:c r="L434" s="18" t="str">
        <x:f>IF($A434="","",IF($C434=1,"Yes",IF(OR($I434="",$A434&lt;$I434),"Yes","Late")))</x:f>
      </x:c>
      <x:c r="M434" s="66" t="str">
        <x:f>IF($A434="","",IF($L434&lt;&gt;"Yes",0,IF($E434="",0,IF($J434="",0,IF($H434="Group",IF($E434=$J434,Setup!$H$2,Setup!$H$3),IF($E434=$K434,Setup!$H$2,Setup!$H$3))))))</x:f>
      </x:c>
      <x:c r="N434" s="66" t="str">
        <x:f>IF($A434="","",IF($L434&lt;&gt;"Yes",0,IF(OR($F434="",$G434=""),0,IF(AND($F434=VLOOKUP($C434,Matches!$A$2:$Q$200,9,FALSE),$G434=VLOOKUP($C434,Matches!$A$2:$Q$200,10,FALSE)),Setup!$H$5,0))))</x:f>
      </x:c>
      <x:c r="O434" s="66" t="str">
        <x:f>IF($A434="","",$M434+$N434)</x:f>
      </x:c>
      <x:c r="P434" s="18" t="str">
        <x:f>IF($A434="","",IF($L434="Late","Late - 0 points",IF($J434="","Waiting for result",IF($O434&gt;0,"Scored",IF($O434&lt;0,"Wrong pick","No points")))))</x:f>
      </x:c>
    </x:row>
    <x:row r="435">
      <x:c r="A435" s="60" t="n">
        <x:f>'Form Responses 1'!A435</x:f>
        <x:v>0</x:v>
      </x:c>
      <x:c r="B435" s="18" t="n">
        <x:f>'Form Responses 1'!B435</x:f>
        <x:v>0</x:v>
      </x:c>
      <x:c r="C435" s="18" t="n">
        <x:f>'Form Responses 1'!C435</x:f>
        <x:v>0</x:v>
      </x:c>
      <x:c r="D435" s="18" t="n">
        <x:f>'Form Responses 1'!D435</x:f>
        <x:v>0</x:v>
      </x:c>
      <x:c r="E435" s="18" t="n">
        <x:f>'Form Responses 1'!E435</x:f>
        <x:v>0</x:v>
      </x:c>
      <x:c r="F435" s="18" t="n">
        <x:f>'Form Responses 1'!F435</x:f>
        <x:v>0</x:v>
      </x:c>
      <x:c r="G435" s="18" t="n">
        <x:f>'Form Responses 1'!G435</x:f>
        <x:v>0</x:v>
      </x:c>
      <x:c r="H435" s="18" t="str">
        <x:f>IF($C435="","",IFERROR(VLOOKUP($C435,Matches!$A$2:$Q$200,5,FALSE),"Unknown"))</x:f>
      </x:c>
      <x:c r="I435" s="60" t="str">
        <x:f>IF($C435="","",IFERROR(VLOOKUP($C435,Matches!$A$2:$Q$200,16,FALSE),""))</x:f>
      </x:c>
      <x:c r="J435" s="18" t="str">
        <x:f>IF($C435="","",IFERROR(VLOOKUP($C435,Matches!$A$2:$Q$200,11,FALSE),""))</x:f>
      </x:c>
      <x:c r="K435" s="18" t="str">
        <x:f>IF($C435="","",IFERROR(VLOOKUP($C435,Matches!$A$2:$Q$200,12,FALSE),""))</x:f>
      </x:c>
      <x:c r="L435" s="18" t="str">
        <x:f>IF($A435="","",IF($C435=1,"Yes",IF(OR($I435="",$A435&lt;$I435),"Yes","Late")))</x:f>
      </x:c>
      <x:c r="M435" s="66" t="str">
        <x:f>IF($A435="","",IF($L435&lt;&gt;"Yes",0,IF($E435="",0,IF($J435="",0,IF($H435="Group",IF($E435=$J435,Setup!$H$2,Setup!$H$3),IF($E435=$K435,Setup!$H$2,Setup!$H$3))))))</x:f>
      </x:c>
      <x:c r="N435" s="66" t="str">
        <x:f>IF($A435="","",IF($L435&lt;&gt;"Yes",0,IF(OR($F435="",$G435=""),0,IF(AND($F435=VLOOKUP($C435,Matches!$A$2:$Q$200,9,FALSE),$G435=VLOOKUP($C435,Matches!$A$2:$Q$200,10,FALSE)),Setup!$H$5,0))))</x:f>
      </x:c>
      <x:c r="O435" s="66" t="str">
        <x:f>IF($A435="","",$M435+$N435)</x:f>
      </x:c>
      <x:c r="P435" s="18" t="str">
        <x:f>IF($A435="","",IF($L435="Late","Late - 0 points",IF($J435="","Waiting for result",IF($O435&gt;0,"Scored",IF($O435&lt;0,"Wrong pick","No points")))))</x:f>
      </x:c>
    </x:row>
    <x:row r="436">
      <x:c r="A436" s="60" t="n">
        <x:f>'Form Responses 1'!A436</x:f>
        <x:v>0</x:v>
      </x:c>
      <x:c r="B436" s="18" t="n">
        <x:f>'Form Responses 1'!B436</x:f>
        <x:v>0</x:v>
      </x:c>
      <x:c r="C436" s="18" t="n">
        <x:f>'Form Responses 1'!C436</x:f>
        <x:v>0</x:v>
      </x:c>
      <x:c r="D436" s="18" t="n">
        <x:f>'Form Responses 1'!D436</x:f>
        <x:v>0</x:v>
      </x:c>
      <x:c r="E436" s="18" t="n">
        <x:f>'Form Responses 1'!E436</x:f>
        <x:v>0</x:v>
      </x:c>
      <x:c r="F436" s="18" t="n">
        <x:f>'Form Responses 1'!F436</x:f>
        <x:v>0</x:v>
      </x:c>
      <x:c r="G436" s="18" t="n">
        <x:f>'Form Responses 1'!G436</x:f>
        <x:v>0</x:v>
      </x:c>
      <x:c r="H436" s="18" t="str">
        <x:f>IF($C436="","",IFERROR(VLOOKUP($C436,Matches!$A$2:$Q$200,5,FALSE),"Unknown"))</x:f>
      </x:c>
      <x:c r="I436" s="60" t="str">
        <x:f>IF($C436="","",IFERROR(VLOOKUP($C436,Matches!$A$2:$Q$200,16,FALSE),""))</x:f>
      </x:c>
      <x:c r="J436" s="18" t="str">
        <x:f>IF($C436="","",IFERROR(VLOOKUP($C436,Matches!$A$2:$Q$200,11,FALSE),""))</x:f>
      </x:c>
      <x:c r="K436" s="18" t="str">
        <x:f>IF($C436="","",IFERROR(VLOOKUP($C436,Matches!$A$2:$Q$200,12,FALSE),""))</x:f>
      </x:c>
      <x:c r="L436" s="18" t="str">
        <x:f>IF($A436="","",IF($C436=1,"Yes",IF(OR($I436="",$A436&lt;$I436),"Yes","Late")))</x:f>
      </x:c>
      <x:c r="M436" s="66" t="str">
        <x:f>IF($A436="","",IF($L436&lt;&gt;"Yes",0,IF($E436="",0,IF($J436="",0,IF($H436="Group",IF($E436=$J436,Setup!$H$2,Setup!$H$3),IF($E436=$K436,Setup!$H$2,Setup!$H$3))))))</x:f>
      </x:c>
      <x:c r="N436" s="66" t="str">
        <x:f>IF($A436="","",IF($L436&lt;&gt;"Yes",0,IF(OR($F436="",$G436=""),0,IF(AND($F436=VLOOKUP($C436,Matches!$A$2:$Q$200,9,FALSE),$G436=VLOOKUP($C436,Matches!$A$2:$Q$200,10,FALSE)),Setup!$H$5,0))))</x:f>
      </x:c>
      <x:c r="O436" s="66" t="str">
        <x:f>IF($A436="","",$M436+$N436)</x:f>
      </x:c>
      <x:c r="P436" s="18" t="str">
        <x:f>IF($A436="","",IF($L436="Late","Late - 0 points",IF($J436="","Waiting for result",IF($O436&gt;0,"Scored",IF($O436&lt;0,"Wrong pick","No points")))))</x:f>
      </x:c>
    </x:row>
    <x:row r="437">
      <x:c r="A437" s="60" t="n">
        <x:f>'Form Responses 1'!A437</x:f>
        <x:v>0</x:v>
      </x:c>
      <x:c r="B437" s="18" t="n">
        <x:f>'Form Responses 1'!B437</x:f>
        <x:v>0</x:v>
      </x:c>
      <x:c r="C437" s="18" t="n">
        <x:f>'Form Responses 1'!C437</x:f>
        <x:v>0</x:v>
      </x:c>
      <x:c r="D437" s="18" t="n">
        <x:f>'Form Responses 1'!D437</x:f>
        <x:v>0</x:v>
      </x:c>
      <x:c r="E437" s="18" t="n">
        <x:f>'Form Responses 1'!E437</x:f>
        <x:v>0</x:v>
      </x:c>
      <x:c r="F437" s="18" t="n">
        <x:f>'Form Responses 1'!F437</x:f>
        <x:v>0</x:v>
      </x:c>
      <x:c r="G437" s="18" t="n">
        <x:f>'Form Responses 1'!G437</x:f>
        <x:v>0</x:v>
      </x:c>
      <x:c r="H437" s="18" t="str">
        <x:f>IF($C437="","",IFERROR(VLOOKUP($C437,Matches!$A$2:$Q$200,5,FALSE),"Unknown"))</x:f>
      </x:c>
      <x:c r="I437" s="60" t="str">
        <x:f>IF($C437="","",IFERROR(VLOOKUP($C437,Matches!$A$2:$Q$200,16,FALSE),""))</x:f>
      </x:c>
      <x:c r="J437" s="18" t="str">
        <x:f>IF($C437="","",IFERROR(VLOOKUP($C437,Matches!$A$2:$Q$200,11,FALSE),""))</x:f>
      </x:c>
      <x:c r="K437" s="18" t="str">
        <x:f>IF($C437="","",IFERROR(VLOOKUP($C437,Matches!$A$2:$Q$200,12,FALSE),""))</x:f>
      </x:c>
      <x:c r="L437" s="18" t="str">
        <x:f>IF($A437="","",IF($C437=1,"Yes",IF(OR($I437="",$A437&lt;$I437),"Yes","Late")))</x:f>
      </x:c>
      <x:c r="M437" s="66" t="str">
        <x:f>IF($A437="","",IF($L437&lt;&gt;"Yes",0,IF($E437="",0,IF($J437="",0,IF($H437="Group",IF($E437=$J437,Setup!$H$2,Setup!$H$3),IF($E437=$K437,Setup!$H$2,Setup!$H$3))))))</x:f>
      </x:c>
      <x:c r="N437" s="66" t="str">
        <x:f>IF($A437="","",IF($L437&lt;&gt;"Yes",0,IF(OR($F437="",$G437=""),0,IF(AND($F437=VLOOKUP($C437,Matches!$A$2:$Q$200,9,FALSE),$G437=VLOOKUP($C437,Matches!$A$2:$Q$200,10,FALSE)),Setup!$H$5,0))))</x:f>
      </x:c>
      <x:c r="O437" s="66" t="str">
        <x:f>IF($A437="","",$M437+$N437)</x:f>
      </x:c>
      <x:c r="P437" s="18" t="str">
        <x:f>IF($A437="","",IF($L437="Late","Late - 0 points",IF($J437="","Waiting for result",IF($O437&gt;0,"Scored",IF($O437&lt;0,"Wrong pick","No points")))))</x:f>
      </x:c>
    </x:row>
    <x:row r="438">
      <x:c r="A438" s="60" t="n">
        <x:f>'Form Responses 1'!A438</x:f>
        <x:v>0</x:v>
      </x:c>
      <x:c r="B438" s="18" t="n">
        <x:f>'Form Responses 1'!B438</x:f>
        <x:v>0</x:v>
      </x:c>
      <x:c r="C438" s="18" t="n">
        <x:f>'Form Responses 1'!C438</x:f>
        <x:v>0</x:v>
      </x:c>
      <x:c r="D438" s="18" t="n">
        <x:f>'Form Responses 1'!D438</x:f>
        <x:v>0</x:v>
      </x:c>
      <x:c r="E438" s="18" t="n">
        <x:f>'Form Responses 1'!E438</x:f>
        <x:v>0</x:v>
      </x:c>
      <x:c r="F438" s="18" t="n">
        <x:f>'Form Responses 1'!F438</x:f>
        <x:v>0</x:v>
      </x:c>
      <x:c r="G438" s="18" t="n">
        <x:f>'Form Responses 1'!G438</x:f>
        <x:v>0</x:v>
      </x:c>
      <x:c r="H438" s="18" t="str">
        <x:f>IF($C438="","",IFERROR(VLOOKUP($C438,Matches!$A$2:$Q$200,5,FALSE),"Unknown"))</x:f>
      </x:c>
      <x:c r="I438" s="60" t="str">
        <x:f>IF($C438="","",IFERROR(VLOOKUP($C438,Matches!$A$2:$Q$200,16,FALSE),""))</x:f>
      </x:c>
      <x:c r="J438" s="18" t="str">
        <x:f>IF($C438="","",IFERROR(VLOOKUP($C438,Matches!$A$2:$Q$200,11,FALSE),""))</x:f>
      </x:c>
      <x:c r="K438" s="18" t="str">
        <x:f>IF($C438="","",IFERROR(VLOOKUP($C438,Matches!$A$2:$Q$200,12,FALSE),""))</x:f>
      </x:c>
      <x:c r="L438" s="18" t="str">
        <x:f>IF($A438="","",IF($C438=1,"Yes",IF(OR($I438="",$A438&lt;$I438),"Yes","Late")))</x:f>
      </x:c>
      <x:c r="M438" s="66" t="str">
        <x:f>IF($A438="","",IF($L438&lt;&gt;"Yes",0,IF($E438="",0,IF($J438="",0,IF($H438="Group",IF($E438=$J438,Setup!$H$2,Setup!$H$3),IF($E438=$K438,Setup!$H$2,Setup!$H$3))))))</x:f>
      </x:c>
      <x:c r="N438" s="66" t="str">
        <x:f>IF($A438="","",IF($L438&lt;&gt;"Yes",0,IF(OR($F438="",$G438=""),0,IF(AND($F438=VLOOKUP($C438,Matches!$A$2:$Q$200,9,FALSE),$G438=VLOOKUP($C438,Matches!$A$2:$Q$200,10,FALSE)),Setup!$H$5,0))))</x:f>
      </x:c>
      <x:c r="O438" s="66" t="str">
        <x:f>IF($A438="","",$M438+$N438)</x:f>
      </x:c>
      <x:c r="P438" s="18" t="str">
        <x:f>IF($A438="","",IF($L438="Late","Late - 0 points",IF($J438="","Waiting for result",IF($O438&gt;0,"Scored",IF($O438&lt;0,"Wrong pick","No points")))))</x:f>
      </x:c>
    </x:row>
    <x:row r="439">
      <x:c r="A439" s="60" t="n">
        <x:f>'Form Responses 1'!A439</x:f>
        <x:v>0</x:v>
      </x:c>
      <x:c r="B439" s="18" t="n">
        <x:f>'Form Responses 1'!B439</x:f>
        <x:v>0</x:v>
      </x:c>
      <x:c r="C439" s="18" t="n">
        <x:f>'Form Responses 1'!C439</x:f>
        <x:v>0</x:v>
      </x:c>
      <x:c r="D439" s="18" t="n">
        <x:f>'Form Responses 1'!D439</x:f>
        <x:v>0</x:v>
      </x:c>
      <x:c r="E439" s="18" t="n">
        <x:f>'Form Responses 1'!E439</x:f>
        <x:v>0</x:v>
      </x:c>
      <x:c r="F439" s="18" t="n">
        <x:f>'Form Responses 1'!F439</x:f>
        <x:v>0</x:v>
      </x:c>
      <x:c r="G439" s="18" t="n">
        <x:f>'Form Responses 1'!G439</x:f>
        <x:v>0</x:v>
      </x:c>
      <x:c r="H439" s="18" t="str">
        <x:f>IF($C439="","",IFERROR(VLOOKUP($C439,Matches!$A$2:$Q$200,5,FALSE),"Unknown"))</x:f>
      </x:c>
      <x:c r="I439" s="60" t="str">
        <x:f>IF($C439="","",IFERROR(VLOOKUP($C439,Matches!$A$2:$Q$200,16,FALSE),""))</x:f>
      </x:c>
      <x:c r="J439" s="18" t="str">
        <x:f>IF($C439="","",IFERROR(VLOOKUP($C439,Matches!$A$2:$Q$200,11,FALSE),""))</x:f>
      </x:c>
      <x:c r="K439" s="18" t="str">
        <x:f>IF($C439="","",IFERROR(VLOOKUP($C439,Matches!$A$2:$Q$200,12,FALSE),""))</x:f>
      </x:c>
      <x:c r="L439" s="18" t="str">
        <x:f>IF($A439="","",IF($C439=1,"Yes",IF(OR($I439="",$A439&lt;$I439),"Yes","Late")))</x:f>
      </x:c>
      <x:c r="M439" s="66" t="str">
        <x:f>IF($A439="","",IF($L439&lt;&gt;"Yes",0,IF($E439="",0,IF($J439="",0,IF($H439="Group",IF($E439=$J439,Setup!$H$2,Setup!$H$3),IF($E439=$K439,Setup!$H$2,Setup!$H$3))))))</x:f>
      </x:c>
      <x:c r="N439" s="66" t="str">
        <x:f>IF($A439="","",IF($L439&lt;&gt;"Yes",0,IF(OR($F439="",$G439=""),0,IF(AND($F439=VLOOKUP($C439,Matches!$A$2:$Q$200,9,FALSE),$G439=VLOOKUP($C439,Matches!$A$2:$Q$200,10,FALSE)),Setup!$H$5,0))))</x:f>
      </x:c>
      <x:c r="O439" s="66" t="str">
        <x:f>IF($A439="","",$M439+$N439)</x:f>
      </x:c>
      <x:c r="P439" s="18" t="str">
        <x:f>IF($A439="","",IF($L439="Late","Late - 0 points",IF($J439="","Waiting for result",IF($O439&gt;0,"Scored",IF($O439&lt;0,"Wrong pick","No points")))))</x:f>
      </x:c>
    </x:row>
    <x:row r="440">
      <x:c r="A440" s="60" t="n">
        <x:f>'Form Responses 1'!A440</x:f>
        <x:v>0</x:v>
      </x:c>
      <x:c r="B440" s="18" t="n">
        <x:f>'Form Responses 1'!B440</x:f>
        <x:v>0</x:v>
      </x:c>
      <x:c r="C440" s="18" t="n">
        <x:f>'Form Responses 1'!C440</x:f>
        <x:v>0</x:v>
      </x:c>
      <x:c r="D440" s="18" t="n">
        <x:f>'Form Responses 1'!D440</x:f>
        <x:v>0</x:v>
      </x:c>
      <x:c r="E440" s="18" t="n">
        <x:f>'Form Responses 1'!E440</x:f>
        <x:v>0</x:v>
      </x:c>
      <x:c r="F440" s="18" t="n">
        <x:f>'Form Responses 1'!F440</x:f>
        <x:v>0</x:v>
      </x:c>
      <x:c r="G440" s="18" t="n">
        <x:f>'Form Responses 1'!G440</x:f>
        <x:v>0</x:v>
      </x:c>
      <x:c r="H440" s="18" t="str">
        <x:f>IF($C440="","",IFERROR(VLOOKUP($C440,Matches!$A$2:$Q$200,5,FALSE),"Unknown"))</x:f>
      </x:c>
      <x:c r="I440" s="60" t="str">
        <x:f>IF($C440="","",IFERROR(VLOOKUP($C440,Matches!$A$2:$Q$200,16,FALSE),""))</x:f>
      </x:c>
      <x:c r="J440" s="18" t="str">
        <x:f>IF($C440="","",IFERROR(VLOOKUP($C440,Matches!$A$2:$Q$200,11,FALSE),""))</x:f>
      </x:c>
      <x:c r="K440" s="18" t="str">
        <x:f>IF($C440="","",IFERROR(VLOOKUP($C440,Matches!$A$2:$Q$200,12,FALSE),""))</x:f>
      </x:c>
      <x:c r="L440" s="18" t="str">
        <x:f>IF($A440="","",IF($C440=1,"Yes",IF(OR($I440="",$A440&lt;$I440),"Yes","Late")))</x:f>
      </x:c>
      <x:c r="M440" s="66" t="str">
        <x:f>IF($A440="","",IF($L440&lt;&gt;"Yes",0,IF($E440="",0,IF($J440="",0,IF($H440="Group",IF($E440=$J440,Setup!$H$2,Setup!$H$3),IF($E440=$K440,Setup!$H$2,Setup!$H$3))))))</x:f>
      </x:c>
      <x:c r="N440" s="66" t="str">
        <x:f>IF($A440="","",IF($L440&lt;&gt;"Yes",0,IF(OR($F440="",$G440=""),0,IF(AND($F440=VLOOKUP($C440,Matches!$A$2:$Q$200,9,FALSE),$G440=VLOOKUP($C440,Matches!$A$2:$Q$200,10,FALSE)),Setup!$H$5,0))))</x:f>
      </x:c>
      <x:c r="O440" s="66" t="str">
        <x:f>IF($A440="","",$M440+$N440)</x:f>
      </x:c>
      <x:c r="P440" s="18" t="str">
        <x:f>IF($A440="","",IF($L440="Late","Late - 0 points",IF($J440="","Waiting for result",IF($O440&gt;0,"Scored",IF($O440&lt;0,"Wrong pick","No points")))))</x:f>
      </x:c>
    </x:row>
    <x:row r="441">
      <x:c r="A441" s="60" t="n">
        <x:f>'Form Responses 1'!A441</x:f>
        <x:v>0</x:v>
      </x:c>
      <x:c r="B441" s="18" t="n">
        <x:f>'Form Responses 1'!B441</x:f>
        <x:v>0</x:v>
      </x:c>
      <x:c r="C441" s="18" t="n">
        <x:f>'Form Responses 1'!C441</x:f>
        <x:v>0</x:v>
      </x:c>
      <x:c r="D441" s="18" t="n">
        <x:f>'Form Responses 1'!D441</x:f>
        <x:v>0</x:v>
      </x:c>
      <x:c r="E441" s="18" t="n">
        <x:f>'Form Responses 1'!E441</x:f>
        <x:v>0</x:v>
      </x:c>
      <x:c r="F441" s="18" t="n">
        <x:f>'Form Responses 1'!F441</x:f>
        <x:v>0</x:v>
      </x:c>
      <x:c r="G441" s="18" t="n">
        <x:f>'Form Responses 1'!G441</x:f>
        <x:v>0</x:v>
      </x:c>
      <x:c r="H441" s="18" t="str">
        <x:f>IF($C441="","",IFERROR(VLOOKUP($C441,Matches!$A$2:$Q$200,5,FALSE),"Unknown"))</x:f>
      </x:c>
      <x:c r="I441" s="60" t="str">
        <x:f>IF($C441="","",IFERROR(VLOOKUP($C441,Matches!$A$2:$Q$200,16,FALSE),""))</x:f>
      </x:c>
      <x:c r="J441" s="18" t="str">
        <x:f>IF($C441="","",IFERROR(VLOOKUP($C441,Matches!$A$2:$Q$200,11,FALSE),""))</x:f>
      </x:c>
      <x:c r="K441" s="18" t="str">
        <x:f>IF($C441="","",IFERROR(VLOOKUP($C441,Matches!$A$2:$Q$200,12,FALSE),""))</x:f>
      </x:c>
      <x:c r="L441" s="18" t="str">
        <x:f>IF($A441="","",IF($C441=1,"Yes",IF(OR($I441="",$A441&lt;$I441),"Yes","Late")))</x:f>
      </x:c>
      <x:c r="M441" s="66" t="str">
        <x:f>IF($A441="","",IF($L441&lt;&gt;"Yes",0,IF($E441="",0,IF($J441="",0,IF($H441="Group",IF($E441=$J441,Setup!$H$2,Setup!$H$3),IF($E441=$K441,Setup!$H$2,Setup!$H$3))))))</x:f>
      </x:c>
      <x:c r="N441" s="66" t="str">
        <x:f>IF($A441="","",IF($L441&lt;&gt;"Yes",0,IF(OR($F441="",$G441=""),0,IF(AND($F441=VLOOKUP($C441,Matches!$A$2:$Q$200,9,FALSE),$G441=VLOOKUP($C441,Matches!$A$2:$Q$200,10,FALSE)),Setup!$H$5,0))))</x:f>
      </x:c>
      <x:c r="O441" s="66" t="str">
        <x:f>IF($A441="","",$M441+$N441)</x:f>
      </x:c>
      <x:c r="P441" s="18" t="str">
        <x:f>IF($A441="","",IF($L441="Late","Late - 0 points",IF($J441="","Waiting for result",IF($O441&gt;0,"Scored",IF($O441&lt;0,"Wrong pick","No points")))))</x:f>
      </x:c>
    </x:row>
    <x:row r="442">
      <x:c r="A442" s="60" t="n">
        <x:f>'Form Responses 1'!A442</x:f>
        <x:v>0</x:v>
      </x:c>
      <x:c r="B442" s="18" t="n">
        <x:f>'Form Responses 1'!B442</x:f>
        <x:v>0</x:v>
      </x:c>
      <x:c r="C442" s="18" t="n">
        <x:f>'Form Responses 1'!C442</x:f>
        <x:v>0</x:v>
      </x:c>
      <x:c r="D442" s="18" t="n">
        <x:f>'Form Responses 1'!D442</x:f>
        <x:v>0</x:v>
      </x:c>
      <x:c r="E442" s="18" t="n">
        <x:f>'Form Responses 1'!E442</x:f>
        <x:v>0</x:v>
      </x:c>
      <x:c r="F442" s="18" t="n">
        <x:f>'Form Responses 1'!F442</x:f>
        <x:v>0</x:v>
      </x:c>
      <x:c r="G442" s="18" t="n">
        <x:f>'Form Responses 1'!G442</x:f>
        <x:v>0</x:v>
      </x:c>
      <x:c r="H442" s="18" t="str">
        <x:f>IF($C442="","",IFERROR(VLOOKUP($C442,Matches!$A$2:$Q$200,5,FALSE),"Unknown"))</x:f>
      </x:c>
      <x:c r="I442" s="60" t="str">
        <x:f>IF($C442="","",IFERROR(VLOOKUP($C442,Matches!$A$2:$Q$200,16,FALSE),""))</x:f>
      </x:c>
      <x:c r="J442" s="18" t="str">
        <x:f>IF($C442="","",IFERROR(VLOOKUP($C442,Matches!$A$2:$Q$200,11,FALSE),""))</x:f>
      </x:c>
      <x:c r="K442" s="18" t="str">
        <x:f>IF($C442="","",IFERROR(VLOOKUP($C442,Matches!$A$2:$Q$200,12,FALSE),""))</x:f>
      </x:c>
      <x:c r="L442" s="18" t="str">
        <x:f>IF($A442="","",IF($C442=1,"Yes",IF(OR($I442="",$A442&lt;$I442),"Yes","Late")))</x:f>
      </x:c>
      <x:c r="M442" s="66" t="str">
        <x:f>IF($A442="","",IF($L442&lt;&gt;"Yes",0,IF($E442="",0,IF($J442="",0,IF($H442="Group",IF($E442=$J442,Setup!$H$2,Setup!$H$3),IF($E442=$K442,Setup!$H$2,Setup!$H$3))))))</x:f>
      </x:c>
      <x:c r="N442" s="66" t="str">
        <x:f>IF($A442="","",IF($L442&lt;&gt;"Yes",0,IF(OR($F442="",$G442=""),0,IF(AND($F442=VLOOKUP($C442,Matches!$A$2:$Q$200,9,FALSE),$G442=VLOOKUP($C442,Matches!$A$2:$Q$200,10,FALSE)),Setup!$H$5,0))))</x:f>
      </x:c>
      <x:c r="O442" s="66" t="str">
        <x:f>IF($A442="","",$M442+$N442)</x:f>
      </x:c>
      <x:c r="P442" s="18" t="str">
        <x:f>IF($A442="","",IF($L442="Late","Late - 0 points",IF($J442="","Waiting for result",IF($O442&gt;0,"Scored",IF($O442&lt;0,"Wrong pick","No points")))))</x:f>
      </x:c>
    </x:row>
    <x:row r="443">
      <x:c r="A443" s="60" t="n">
        <x:f>'Form Responses 1'!A443</x:f>
        <x:v>0</x:v>
      </x:c>
      <x:c r="B443" s="18" t="n">
        <x:f>'Form Responses 1'!B443</x:f>
        <x:v>0</x:v>
      </x:c>
      <x:c r="C443" s="18" t="n">
        <x:f>'Form Responses 1'!C443</x:f>
        <x:v>0</x:v>
      </x:c>
      <x:c r="D443" s="18" t="n">
        <x:f>'Form Responses 1'!D443</x:f>
        <x:v>0</x:v>
      </x:c>
      <x:c r="E443" s="18" t="n">
        <x:f>'Form Responses 1'!E443</x:f>
        <x:v>0</x:v>
      </x:c>
      <x:c r="F443" s="18" t="n">
        <x:f>'Form Responses 1'!F443</x:f>
        <x:v>0</x:v>
      </x:c>
      <x:c r="G443" s="18" t="n">
        <x:f>'Form Responses 1'!G443</x:f>
        <x:v>0</x:v>
      </x:c>
      <x:c r="H443" s="18" t="str">
        <x:f>IF($C443="","",IFERROR(VLOOKUP($C443,Matches!$A$2:$Q$200,5,FALSE),"Unknown"))</x:f>
      </x:c>
      <x:c r="I443" s="60" t="str">
        <x:f>IF($C443="","",IFERROR(VLOOKUP($C443,Matches!$A$2:$Q$200,16,FALSE),""))</x:f>
      </x:c>
      <x:c r="J443" s="18" t="str">
        <x:f>IF($C443="","",IFERROR(VLOOKUP($C443,Matches!$A$2:$Q$200,11,FALSE),""))</x:f>
      </x:c>
      <x:c r="K443" s="18" t="str">
        <x:f>IF($C443="","",IFERROR(VLOOKUP($C443,Matches!$A$2:$Q$200,12,FALSE),""))</x:f>
      </x:c>
      <x:c r="L443" s="18" t="str">
        <x:f>IF($A443="","",IF($C443=1,"Yes",IF(OR($I443="",$A443&lt;$I443),"Yes","Late")))</x:f>
      </x:c>
      <x:c r="M443" s="66" t="str">
        <x:f>IF($A443="","",IF($L443&lt;&gt;"Yes",0,IF($E443="",0,IF($J443="",0,IF($H443="Group",IF($E443=$J443,Setup!$H$2,Setup!$H$3),IF($E443=$K443,Setup!$H$2,Setup!$H$3))))))</x:f>
      </x:c>
      <x:c r="N443" s="66" t="str">
        <x:f>IF($A443="","",IF($L443&lt;&gt;"Yes",0,IF(OR($F443="",$G443=""),0,IF(AND($F443=VLOOKUP($C443,Matches!$A$2:$Q$200,9,FALSE),$G443=VLOOKUP($C443,Matches!$A$2:$Q$200,10,FALSE)),Setup!$H$5,0))))</x:f>
      </x:c>
      <x:c r="O443" s="66" t="str">
        <x:f>IF($A443="","",$M443+$N443)</x:f>
      </x:c>
      <x:c r="P443" s="18" t="str">
        <x:f>IF($A443="","",IF($L443="Late","Late - 0 points",IF($J443="","Waiting for result",IF($O443&gt;0,"Scored",IF($O443&lt;0,"Wrong pick","No points")))))</x:f>
      </x:c>
    </x:row>
    <x:row r="444">
      <x:c r="A444" s="60" t="n">
        <x:f>'Form Responses 1'!A444</x:f>
        <x:v>0</x:v>
      </x:c>
      <x:c r="B444" s="18" t="n">
        <x:f>'Form Responses 1'!B444</x:f>
        <x:v>0</x:v>
      </x:c>
      <x:c r="C444" s="18" t="n">
        <x:f>'Form Responses 1'!C444</x:f>
        <x:v>0</x:v>
      </x:c>
      <x:c r="D444" s="18" t="n">
        <x:f>'Form Responses 1'!D444</x:f>
        <x:v>0</x:v>
      </x:c>
      <x:c r="E444" s="18" t="n">
        <x:f>'Form Responses 1'!E444</x:f>
        <x:v>0</x:v>
      </x:c>
      <x:c r="F444" s="18" t="n">
        <x:f>'Form Responses 1'!F444</x:f>
        <x:v>0</x:v>
      </x:c>
      <x:c r="G444" s="18" t="n">
        <x:f>'Form Responses 1'!G444</x:f>
        <x:v>0</x:v>
      </x:c>
      <x:c r="H444" s="18" t="str">
        <x:f>IF($C444="","",IFERROR(VLOOKUP($C444,Matches!$A$2:$Q$200,5,FALSE),"Unknown"))</x:f>
      </x:c>
      <x:c r="I444" s="60" t="str">
        <x:f>IF($C444="","",IFERROR(VLOOKUP($C444,Matches!$A$2:$Q$200,16,FALSE),""))</x:f>
      </x:c>
      <x:c r="J444" s="18" t="str">
        <x:f>IF($C444="","",IFERROR(VLOOKUP($C444,Matches!$A$2:$Q$200,11,FALSE),""))</x:f>
      </x:c>
      <x:c r="K444" s="18" t="str">
        <x:f>IF($C444="","",IFERROR(VLOOKUP($C444,Matches!$A$2:$Q$200,12,FALSE),""))</x:f>
      </x:c>
      <x:c r="L444" s="18" t="str">
        <x:f>IF($A444="","",IF($C444=1,"Yes",IF(OR($I444="",$A444&lt;$I444),"Yes","Late")))</x:f>
      </x:c>
      <x:c r="M444" s="66" t="str">
        <x:f>IF($A444="","",IF($L444&lt;&gt;"Yes",0,IF($E444="",0,IF($J444="",0,IF($H444="Group",IF($E444=$J444,Setup!$H$2,Setup!$H$3),IF($E444=$K444,Setup!$H$2,Setup!$H$3))))))</x:f>
      </x:c>
      <x:c r="N444" s="66" t="str">
        <x:f>IF($A444="","",IF($L444&lt;&gt;"Yes",0,IF(OR($F444="",$G444=""),0,IF(AND($F444=VLOOKUP($C444,Matches!$A$2:$Q$200,9,FALSE),$G444=VLOOKUP($C444,Matches!$A$2:$Q$200,10,FALSE)),Setup!$H$5,0))))</x:f>
      </x:c>
      <x:c r="O444" s="66" t="str">
        <x:f>IF($A444="","",$M444+$N444)</x:f>
      </x:c>
      <x:c r="P444" s="18" t="str">
        <x:f>IF($A444="","",IF($L444="Late","Late - 0 points",IF($J444="","Waiting for result",IF($O444&gt;0,"Scored",IF($O444&lt;0,"Wrong pick","No points")))))</x:f>
      </x:c>
    </x:row>
    <x:row r="445">
      <x:c r="A445" s="60" t="n">
        <x:f>'Form Responses 1'!A445</x:f>
        <x:v>0</x:v>
      </x:c>
      <x:c r="B445" s="18" t="n">
        <x:f>'Form Responses 1'!B445</x:f>
        <x:v>0</x:v>
      </x:c>
      <x:c r="C445" s="18" t="n">
        <x:f>'Form Responses 1'!C445</x:f>
        <x:v>0</x:v>
      </x:c>
      <x:c r="D445" s="18" t="n">
        <x:f>'Form Responses 1'!D445</x:f>
        <x:v>0</x:v>
      </x:c>
      <x:c r="E445" s="18" t="n">
        <x:f>'Form Responses 1'!E445</x:f>
        <x:v>0</x:v>
      </x:c>
      <x:c r="F445" s="18" t="n">
        <x:f>'Form Responses 1'!F445</x:f>
        <x:v>0</x:v>
      </x:c>
      <x:c r="G445" s="18" t="n">
        <x:f>'Form Responses 1'!G445</x:f>
        <x:v>0</x:v>
      </x:c>
      <x:c r="H445" s="18" t="str">
        <x:f>IF($C445="","",IFERROR(VLOOKUP($C445,Matches!$A$2:$Q$200,5,FALSE),"Unknown"))</x:f>
      </x:c>
      <x:c r="I445" s="60" t="str">
        <x:f>IF($C445="","",IFERROR(VLOOKUP($C445,Matches!$A$2:$Q$200,16,FALSE),""))</x:f>
      </x:c>
      <x:c r="J445" s="18" t="str">
        <x:f>IF($C445="","",IFERROR(VLOOKUP($C445,Matches!$A$2:$Q$200,11,FALSE),""))</x:f>
      </x:c>
      <x:c r="K445" s="18" t="str">
        <x:f>IF($C445="","",IFERROR(VLOOKUP($C445,Matches!$A$2:$Q$200,12,FALSE),""))</x:f>
      </x:c>
      <x:c r="L445" s="18" t="str">
        <x:f>IF($A445="","",IF($C445=1,"Yes",IF(OR($I445="",$A445&lt;$I445),"Yes","Late")))</x:f>
      </x:c>
      <x:c r="M445" s="66" t="str">
        <x:f>IF($A445="","",IF($L445&lt;&gt;"Yes",0,IF($E445="",0,IF($J445="",0,IF($H445="Group",IF($E445=$J445,Setup!$H$2,Setup!$H$3),IF($E445=$K445,Setup!$H$2,Setup!$H$3))))))</x:f>
      </x:c>
      <x:c r="N445" s="66" t="str">
        <x:f>IF($A445="","",IF($L445&lt;&gt;"Yes",0,IF(OR($F445="",$G445=""),0,IF(AND($F445=VLOOKUP($C445,Matches!$A$2:$Q$200,9,FALSE),$G445=VLOOKUP($C445,Matches!$A$2:$Q$200,10,FALSE)),Setup!$H$5,0))))</x:f>
      </x:c>
      <x:c r="O445" s="66" t="str">
        <x:f>IF($A445="","",$M445+$N445)</x:f>
      </x:c>
      <x:c r="P445" s="18" t="str">
        <x:f>IF($A445="","",IF($L445="Late","Late - 0 points",IF($J445="","Waiting for result",IF($O445&gt;0,"Scored",IF($O445&lt;0,"Wrong pick","No points")))))</x:f>
      </x:c>
    </x:row>
    <x:row r="446">
      <x:c r="A446" s="60" t="n">
        <x:f>'Form Responses 1'!A446</x:f>
        <x:v>0</x:v>
      </x:c>
      <x:c r="B446" s="18" t="n">
        <x:f>'Form Responses 1'!B446</x:f>
        <x:v>0</x:v>
      </x:c>
      <x:c r="C446" s="18" t="n">
        <x:f>'Form Responses 1'!C446</x:f>
        <x:v>0</x:v>
      </x:c>
      <x:c r="D446" s="18" t="n">
        <x:f>'Form Responses 1'!D446</x:f>
        <x:v>0</x:v>
      </x:c>
      <x:c r="E446" s="18" t="n">
        <x:f>'Form Responses 1'!E446</x:f>
        <x:v>0</x:v>
      </x:c>
      <x:c r="F446" s="18" t="n">
        <x:f>'Form Responses 1'!F446</x:f>
        <x:v>0</x:v>
      </x:c>
      <x:c r="G446" s="18" t="n">
        <x:f>'Form Responses 1'!G446</x:f>
        <x:v>0</x:v>
      </x:c>
      <x:c r="H446" s="18" t="str">
        <x:f>IF($C446="","",IFERROR(VLOOKUP($C446,Matches!$A$2:$Q$200,5,FALSE),"Unknown"))</x:f>
      </x:c>
      <x:c r="I446" s="60" t="str">
        <x:f>IF($C446="","",IFERROR(VLOOKUP($C446,Matches!$A$2:$Q$200,16,FALSE),""))</x:f>
      </x:c>
      <x:c r="J446" s="18" t="str">
        <x:f>IF($C446="","",IFERROR(VLOOKUP($C446,Matches!$A$2:$Q$200,11,FALSE),""))</x:f>
      </x:c>
      <x:c r="K446" s="18" t="str">
        <x:f>IF($C446="","",IFERROR(VLOOKUP($C446,Matches!$A$2:$Q$200,12,FALSE),""))</x:f>
      </x:c>
      <x:c r="L446" s="18" t="str">
        <x:f>IF($A446="","",IF($C446=1,"Yes",IF(OR($I446="",$A446&lt;$I446),"Yes","Late")))</x:f>
      </x:c>
      <x:c r="M446" s="66" t="str">
        <x:f>IF($A446="","",IF($L446&lt;&gt;"Yes",0,IF($E446="",0,IF($J446="",0,IF($H446="Group",IF($E446=$J446,Setup!$H$2,Setup!$H$3),IF($E446=$K446,Setup!$H$2,Setup!$H$3))))))</x:f>
      </x:c>
      <x:c r="N446" s="66" t="str">
        <x:f>IF($A446="","",IF($L446&lt;&gt;"Yes",0,IF(OR($F446="",$G446=""),0,IF(AND($F446=VLOOKUP($C446,Matches!$A$2:$Q$200,9,FALSE),$G446=VLOOKUP($C446,Matches!$A$2:$Q$200,10,FALSE)),Setup!$H$5,0))))</x:f>
      </x:c>
      <x:c r="O446" s="66" t="str">
        <x:f>IF($A446="","",$M446+$N446)</x:f>
      </x:c>
      <x:c r="P446" s="18" t="str">
        <x:f>IF($A446="","",IF($L446="Late","Late - 0 points",IF($J446="","Waiting for result",IF($O446&gt;0,"Scored",IF($O446&lt;0,"Wrong pick","No points")))))</x:f>
      </x:c>
    </x:row>
    <x:row r="447">
      <x:c r="A447" s="60" t="n">
        <x:f>'Form Responses 1'!A447</x:f>
        <x:v>0</x:v>
      </x:c>
      <x:c r="B447" s="18" t="n">
        <x:f>'Form Responses 1'!B447</x:f>
        <x:v>0</x:v>
      </x:c>
      <x:c r="C447" s="18" t="n">
        <x:f>'Form Responses 1'!C447</x:f>
        <x:v>0</x:v>
      </x:c>
      <x:c r="D447" s="18" t="n">
        <x:f>'Form Responses 1'!D447</x:f>
        <x:v>0</x:v>
      </x:c>
      <x:c r="E447" s="18" t="n">
        <x:f>'Form Responses 1'!E447</x:f>
        <x:v>0</x:v>
      </x:c>
      <x:c r="F447" s="18" t="n">
        <x:f>'Form Responses 1'!F447</x:f>
        <x:v>0</x:v>
      </x:c>
      <x:c r="G447" s="18" t="n">
        <x:f>'Form Responses 1'!G447</x:f>
        <x:v>0</x:v>
      </x:c>
      <x:c r="H447" s="18" t="str">
        <x:f>IF($C447="","",IFERROR(VLOOKUP($C447,Matches!$A$2:$Q$200,5,FALSE),"Unknown"))</x:f>
      </x:c>
      <x:c r="I447" s="60" t="str">
        <x:f>IF($C447="","",IFERROR(VLOOKUP($C447,Matches!$A$2:$Q$200,16,FALSE),""))</x:f>
      </x:c>
      <x:c r="J447" s="18" t="str">
        <x:f>IF($C447="","",IFERROR(VLOOKUP($C447,Matches!$A$2:$Q$200,11,FALSE),""))</x:f>
      </x:c>
      <x:c r="K447" s="18" t="str">
        <x:f>IF($C447="","",IFERROR(VLOOKUP($C447,Matches!$A$2:$Q$200,12,FALSE),""))</x:f>
      </x:c>
      <x:c r="L447" s="18" t="str">
        <x:f>IF($A447="","",IF($C447=1,"Yes",IF(OR($I447="",$A447&lt;$I447),"Yes","Late")))</x:f>
      </x:c>
      <x:c r="M447" s="66" t="str">
        <x:f>IF($A447="","",IF($L447&lt;&gt;"Yes",0,IF($E447="",0,IF($J447="",0,IF($H447="Group",IF($E447=$J447,Setup!$H$2,Setup!$H$3),IF($E447=$K447,Setup!$H$2,Setup!$H$3))))))</x:f>
      </x:c>
      <x:c r="N447" s="66" t="str">
        <x:f>IF($A447="","",IF($L447&lt;&gt;"Yes",0,IF(OR($F447="",$G447=""),0,IF(AND($F447=VLOOKUP($C447,Matches!$A$2:$Q$200,9,FALSE),$G447=VLOOKUP($C447,Matches!$A$2:$Q$200,10,FALSE)),Setup!$H$5,0))))</x:f>
      </x:c>
      <x:c r="O447" s="66" t="str">
        <x:f>IF($A447="","",$M447+$N447)</x:f>
      </x:c>
      <x:c r="P447" s="18" t="str">
        <x:f>IF($A447="","",IF($L447="Late","Late - 0 points",IF($J447="","Waiting for result",IF($O447&gt;0,"Scored",IF($O447&lt;0,"Wrong pick","No points")))))</x:f>
      </x:c>
    </x:row>
    <x:row r="448">
      <x:c r="A448" s="60" t="n">
        <x:f>'Form Responses 1'!A448</x:f>
        <x:v>0</x:v>
      </x:c>
      <x:c r="B448" s="18" t="n">
        <x:f>'Form Responses 1'!B448</x:f>
        <x:v>0</x:v>
      </x:c>
      <x:c r="C448" s="18" t="n">
        <x:f>'Form Responses 1'!C448</x:f>
        <x:v>0</x:v>
      </x:c>
      <x:c r="D448" s="18" t="n">
        <x:f>'Form Responses 1'!D448</x:f>
        <x:v>0</x:v>
      </x:c>
      <x:c r="E448" s="18" t="n">
        <x:f>'Form Responses 1'!E448</x:f>
        <x:v>0</x:v>
      </x:c>
      <x:c r="F448" s="18" t="n">
        <x:f>'Form Responses 1'!F448</x:f>
        <x:v>0</x:v>
      </x:c>
      <x:c r="G448" s="18" t="n">
        <x:f>'Form Responses 1'!G448</x:f>
        <x:v>0</x:v>
      </x:c>
      <x:c r="H448" s="18" t="str">
        <x:f>IF($C448="","",IFERROR(VLOOKUP($C448,Matches!$A$2:$Q$200,5,FALSE),"Unknown"))</x:f>
      </x:c>
      <x:c r="I448" s="60" t="str">
        <x:f>IF($C448="","",IFERROR(VLOOKUP($C448,Matches!$A$2:$Q$200,16,FALSE),""))</x:f>
      </x:c>
      <x:c r="J448" s="18" t="str">
        <x:f>IF($C448="","",IFERROR(VLOOKUP($C448,Matches!$A$2:$Q$200,11,FALSE),""))</x:f>
      </x:c>
      <x:c r="K448" s="18" t="str">
        <x:f>IF($C448="","",IFERROR(VLOOKUP($C448,Matches!$A$2:$Q$200,12,FALSE),""))</x:f>
      </x:c>
      <x:c r="L448" s="18" t="str">
        <x:f>IF($A448="","",IF($C448=1,"Yes",IF(OR($I448="",$A448&lt;$I448),"Yes","Late")))</x:f>
      </x:c>
      <x:c r="M448" s="66" t="str">
        <x:f>IF($A448="","",IF($L448&lt;&gt;"Yes",0,IF($E448="",0,IF($J448="",0,IF($H448="Group",IF($E448=$J448,Setup!$H$2,Setup!$H$3),IF($E448=$K448,Setup!$H$2,Setup!$H$3))))))</x:f>
      </x:c>
      <x:c r="N448" s="66" t="str">
        <x:f>IF($A448="","",IF($L448&lt;&gt;"Yes",0,IF(OR($F448="",$G448=""),0,IF(AND($F448=VLOOKUP($C448,Matches!$A$2:$Q$200,9,FALSE),$G448=VLOOKUP($C448,Matches!$A$2:$Q$200,10,FALSE)),Setup!$H$5,0))))</x:f>
      </x:c>
      <x:c r="O448" s="66" t="str">
        <x:f>IF($A448="","",$M448+$N448)</x:f>
      </x:c>
      <x:c r="P448" s="18" t="str">
        <x:f>IF($A448="","",IF($L448="Late","Late - 0 points",IF($J448="","Waiting for result",IF($O448&gt;0,"Scored",IF($O448&lt;0,"Wrong pick","No points")))))</x:f>
      </x:c>
    </x:row>
    <x:row r="449">
      <x:c r="A449" s="60" t="n">
        <x:f>'Form Responses 1'!A449</x:f>
        <x:v>0</x:v>
      </x:c>
      <x:c r="B449" s="18" t="n">
        <x:f>'Form Responses 1'!B449</x:f>
        <x:v>0</x:v>
      </x:c>
      <x:c r="C449" s="18" t="n">
        <x:f>'Form Responses 1'!C449</x:f>
        <x:v>0</x:v>
      </x:c>
      <x:c r="D449" s="18" t="n">
        <x:f>'Form Responses 1'!D449</x:f>
        <x:v>0</x:v>
      </x:c>
      <x:c r="E449" s="18" t="n">
        <x:f>'Form Responses 1'!E449</x:f>
        <x:v>0</x:v>
      </x:c>
      <x:c r="F449" s="18" t="n">
        <x:f>'Form Responses 1'!F449</x:f>
        <x:v>0</x:v>
      </x:c>
      <x:c r="G449" s="18" t="n">
        <x:f>'Form Responses 1'!G449</x:f>
        <x:v>0</x:v>
      </x:c>
      <x:c r="H449" s="18" t="str">
        <x:f>IF($C449="","",IFERROR(VLOOKUP($C449,Matches!$A$2:$Q$200,5,FALSE),"Unknown"))</x:f>
      </x:c>
      <x:c r="I449" s="60" t="str">
        <x:f>IF($C449="","",IFERROR(VLOOKUP($C449,Matches!$A$2:$Q$200,16,FALSE),""))</x:f>
      </x:c>
      <x:c r="J449" s="18" t="str">
        <x:f>IF($C449="","",IFERROR(VLOOKUP($C449,Matches!$A$2:$Q$200,11,FALSE),""))</x:f>
      </x:c>
      <x:c r="K449" s="18" t="str">
        <x:f>IF($C449="","",IFERROR(VLOOKUP($C449,Matches!$A$2:$Q$200,12,FALSE),""))</x:f>
      </x:c>
      <x:c r="L449" s="18" t="str">
        <x:f>IF($A449="","",IF($C449=1,"Yes",IF(OR($I449="",$A449&lt;$I449),"Yes","Late")))</x:f>
      </x:c>
      <x:c r="M449" s="66" t="str">
        <x:f>IF($A449="","",IF($L449&lt;&gt;"Yes",0,IF($E449="",0,IF($J449="",0,IF($H449="Group",IF($E449=$J449,Setup!$H$2,Setup!$H$3),IF($E449=$K449,Setup!$H$2,Setup!$H$3))))))</x:f>
      </x:c>
      <x:c r="N449" s="66" t="str">
        <x:f>IF($A449="","",IF($L449&lt;&gt;"Yes",0,IF(OR($F449="",$G449=""),0,IF(AND($F449=VLOOKUP($C449,Matches!$A$2:$Q$200,9,FALSE),$G449=VLOOKUP($C449,Matches!$A$2:$Q$200,10,FALSE)),Setup!$H$5,0))))</x:f>
      </x:c>
      <x:c r="O449" s="66" t="str">
        <x:f>IF($A449="","",$M449+$N449)</x:f>
      </x:c>
      <x:c r="P449" s="18" t="str">
        <x:f>IF($A449="","",IF($L449="Late","Late - 0 points",IF($J449="","Waiting for result",IF($O449&gt;0,"Scored",IF($O449&lt;0,"Wrong pick","No points")))))</x:f>
      </x:c>
    </x:row>
    <x:row r="450">
      <x:c r="A450" s="60" t="n">
        <x:f>'Form Responses 1'!A450</x:f>
        <x:v>0</x:v>
      </x:c>
      <x:c r="B450" s="18" t="n">
        <x:f>'Form Responses 1'!B450</x:f>
        <x:v>0</x:v>
      </x:c>
      <x:c r="C450" s="18" t="n">
        <x:f>'Form Responses 1'!C450</x:f>
        <x:v>0</x:v>
      </x:c>
      <x:c r="D450" s="18" t="n">
        <x:f>'Form Responses 1'!D450</x:f>
        <x:v>0</x:v>
      </x:c>
      <x:c r="E450" s="18" t="n">
        <x:f>'Form Responses 1'!E450</x:f>
        <x:v>0</x:v>
      </x:c>
      <x:c r="F450" s="18" t="n">
        <x:f>'Form Responses 1'!F450</x:f>
        <x:v>0</x:v>
      </x:c>
      <x:c r="G450" s="18" t="n">
        <x:f>'Form Responses 1'!G450</x:f>
        <x:v>0</x:v>
      </x:c>
      <x:c r="H450" s="18" t="str">
        <x:f>IF($C450="","",IFERROR(VLOOKUP($C450,Matches!$A$2:$Q$200,5,FALSE),"Unknown"))</x:f>
      </x:c>
      <x:c r="I450" s="60" t="str">
        <x:f>IF($C450="","",IFERROR(VLOOKUP($C450,Matches!$A$2:$Q$200,16,FALSE),""))</x:f>
      </x:c>
      <x:c r="J450" s="18" t="str">
        <x:f>IF($C450="","",IFERROR(VLOOKUP($C450,Matches!$A$2:$Q$200,11,FALSE),""))</x:f>
      </x:c>
      <x:c r="K450" s="18" t="str">
        <x:f>IF($C450="","",IFERROR(VLOOKUP($C450,Matches!$A$2:$Q$200,12,FALSE),""))</x:f>
      </x:c>
      <x:c r="L450" s="18" t="str">
        <x:f>IF($A450="","",IF($C450=1,"Yes",IF(OR($I450="",$A450&lt;$I450),"Yes","Late")))</x:f>
      </x:c>
      <x:c r="M450" s="66" t="str">
        <x:f>IF($A450="","",IF($L450&lt;&gt;"Yes",0,IF($E450="",0,IF($J450="",0,IF($H450="Group",IF($E450=$J450,Setup!$H$2,Setup!$H$3),IF($E450=$K450,Setup!$H$2,Setup!$H$3))))))</x:f>
      </x:c>
      <x:c r="N450" s="66" t="str">
        <x:f>IF($A450="","",IF($L450&lt;&gt;"Yes",0,IF(OR($F450="",$G450=""),0,IF(AND($F450=VLOOKUP($C450,Matches!$A$2:$Q$200,9,FALSE),$G450=VLOOKUP($C450,Matches!$A$2:$Q$200,10,FALSE)),Setup!$H$5,0))))</x:f>
      </x:c>
      <x:c r="O450" s="66" t="str">
        <x:f>IF($A450="","",$M450+$N450)</x:f>
      </x:c>
      <x:c r="P450" s="18" t="str">
        <x:f>IF($A450="","",IF($L450="Late","Late - 0 points",IF($J450="","Waiting for result",IF($O450&gt;0,"Scored",IF($O450&lt;0,"Wrong pick","No points")))))</x:f>
      </x:c>
    </x:row>
    <x:row r="451">
      <x:c r="A451" s="60" t="n">
        <x:f>'Form Responses 1'!A451</x:f>
        <x:v>0</x:v>
      </x:c>
      <x:c r="B451" s="18" t="n">
        <x:f>'Form Responses 1'!B451</x:f>
        <x:v>0</x:v>
      </x:c>
      <x:c r="C451" s="18" t="n">
        <x:f>'Form Responses 1'!C451</x:f>
        <x:v>0</x:v>
      </x:c>
      <x:c r="D451" s="18" t="n">
        <x:f>'Form Responses 1'!D451</x:f>
        <x:v>0</x:v>
      </x:c>
      <x:c r="E451" s="18" t="n">
        <x:f>'Form Responses 1'!E451</x:f>
        <x:v>0</x:v>
      </x:c>
      <x:c r="F451" s="18" t="n">
        <x:f>'Form Responses 1'!F451</x:f>
        <x:v>0</x:v>
      </x:c>
      <x:c r="G451" s="18" t="n">
        <x:f>'Form Responses 1'!G451</x:f>
        <x:v>0</x:v>
      </x:c>
      <x:c r="H451" s="18" t="str">
        <x:f>IF($C451="","",IFERROR(VLOOKUP($C451,Matches!$A$2:$Q$200,5,FALSE),"Unknown"))</x:f>
      </x:c>
      <x:c r="I451" s="60" t="str">
        <x:f>IF($C451="","",IFERROR(VLOOKUP($C451,Matches!$A$2:$Q$200,16,FALSE),""))</x:f>
      </x:c>
      <x:c r="J451" s="18" t="str">
        <x:f>IF($C451="","",IFERROR(VLOOKUP($C451,Matches!$A$2:$Q$200,11,FALSE),""))</x:f>
      </x:c>
      <x:c r="K451" s="18" t="str">
        <x:f>IF($C451="","",IFERROR(VLOOKUP($C451,Matches!$A$2:$Q$200,12,FALSE),""))</x:f>
      </x:c>
      <x:c r="L451" s="18" t="str">
        <x:f>IF($A451="","",IF($C451=1,"Yes",IF(OR($I451="",$A451&lt;$I451),"Yes","Late")))</x:f>
      </x:c>
      <x:c r="M451" s="66" t="str">
        <x:f>IF($A451="","",IF($L451&lt;&gt;"Yes",0,IF($E451="",0,IF($J451="",0,IF($H451="Group",IF($E451=$J451,Setup!$H$2,Setup!$H$3),IF($E451=$K451,Setup!$H$2,Setup!$H$3))))))</x:f>
      </x:c>
      <x:c r="N451" s="66" t="str">
        <x:f>IF($A451="","",IF($L451&lt;&gt;"Yes",0,IF(OR($F451="",$G451=""),0,IF(AND($F451=VLOOKUP($C451,Matches!$A$2:$Q$200,9,FALSE),$G451=VLOOKUP($C451,Matches!$A$2:$Q$200,10,FALSE)),Setup!$H$5,0))))</x:f>
      </x:c>
      <x:c r="O451" s="66" t="str">
        <x:f>IF($A451="","",$M451+$N451)</x:f>
      </x:c>
      <x:c r="P451" s="18" t="str">
        <x:f>IF($A451="","",IF($L451="Late","Late - 0 points",IF($J451="","Waiting for result",IF($O451&gt;0,"Scored",IF($O451&lt;0,"Wrong pick","No points")))))</x:f>
      </x:c>
    </x:row>
    <x:row r="452">
      <x:c r="A452" s="60" t="n">
        <x:f>'Form Responses 1'!A452</x:f>
        <x:v>0</x:v>
      </x:c>
      <x:c r="B452" s="18" t="n">
        <x:f>'Form Responses 1'!B452</x:f>
        <x:v>0</x:v>
      </x:c>
      <x:c r="C452" s="18" t="n">
        <x:f>'Form Responses 1'!C452</x:f>
        <x:v>0</x:v>
      </x:c>
      <x:c r="D452" s="18" t="n">
        <x:f>'Form Responses 1'!D452</x:f>
        <x:v>0</x:v>
      </x:c>
      <x:c r="E452" s="18" t="n">
        <x:f>'Form Responses 1'!E452</x:f>
        <x:v>0</x:v>
      </x:c>
      <x:c r="F452" s="18" t="n">
        <x:f>'Form Responses 1'!F452</x:f>
        <x:v>0</x:v>
      </x:c>
      <x:c r="G452" s="18" t="n">
        <x:f>'Form Responses 1'!G452</x:f>
        <x:v>0</x:v>
      </x:c>
      <x:c r="H452" s="18" t="str">
        <x:f>IF($C452="","",IFERROR(VLOOKUP($C452,Matches!$A$2:$Q$200,5,FALSE),"Unknown"))</x:f>
      </x:c>
      <x:c r="I452" s="60" t="str">
        <x:f>IF($C452="","",IFERROR(VLOOKUP($C452,Matches!$A$2:$Q$200,16,FALSE),""))</x:f>
      </x:c>
      <x:c r="J452" s="18" t="str">
        <x:f>IF($C452="","",IFERROR(VLOOKUP($C452,Matches!$A$2:$Q$200,11,FALSE),""))</x:f>
      </x:c>
      <x:c r="K452" s="18" t="str">
        <x:f>IF($C452="","",IFERROR(VLOOKUP($C452,Matches!$A$2:$Q$200,12,FALSE),""))</x:f>
      </x:c>
      <x:c r="L452" s="18" t="str">
        <x:f>IF($A452="","",IF($C452=1,"Yes",IF(OR($I452="",$A452&lt;$I452),"Yes","Late")))</x:f>
      </x:c>
      <x:c r="M452" s="66" t="str">
        <x:f>IF($A452="","",IF($L452&lt;&gt;"Yes",0,IF($E452="",0,IF($J452="",0,IF($H452="Group",IF($E452=$J452,Setup!$H$2,Setup!$H$3),IF($E452=$K452,Setup!$H$2,Setup!$H$3))))))</x:f>
      </x:c>
      <x:c r="N452" s="66" t="str">
        <x:f>IF($A452="","",IF($L452&lt;&gt;"Yes",0,IF(OR($F452="",$G452=""),0,IF(AND($F452=VLOOKUP($C452,Matches!$A$2:$Q$200,9,FALSE),$G452=VLOOKUP($C452,Matches!$A$2:$Q$200,10,FALSE)),Setup!$H$5,0))))</x:f>
      </x:c>
      <x:c r="O452" s="66" t="str">
        <x:f>IF($A452="","",$M452+$N452)</x:f>
      </x:c>
      <x:c r="P452" s="18" t="str">
        <x:f>IF($A452="","",IF($L452="Late","Late - 0 points",IF($J452="","Waiting for result",IF($O452&gt;0,"Scored",IF($O452&lt;0,"Wrong pick","No points")))))</x:f>
      </x:c>
    </x:row>
    <x:row r="453">
      <x:c r="A453" s="60" t="n">
        <x:f>'Form Responses 1'!A453</x:f>
        <x:v>0</x:v>
      </x:c>
      <x:c r="B453" s="18" t="n">
        <x:f>'Form Responses 1'!B453</x:f>
        <x:v>0</x:v>
      </x:c>
      <x:c r="C453" s="18" t="n">
        <x:f>'Form Responses 1'!C453</x:f>
        <x:v>0</x:v>
      </x:c>
      <x:c r="D453" s="18" t="n">
        <x:f>'Form Responses 1'!D453</x:f>
        <x:v>0</x:v>
      </x:c>
      <x:c r="E453" s="18" t="n">
        <x:f>'Form Responses 1'!E453</x:f>
        <x:v>0</x:v>
      </x:c>
      <x:c r="F453" s="18" t="n">
        <x:f>'Form Responses 1'!F453</x:f>
        <x:v>0</x:v>
      </x:c>
      <x:c r="G453" s="18" t="n">
        <x:f>'Form Responses 1'!G453</x:f>
        <x:v>0</x:v>
      </x:c>
      <x:c r="H453" s="18" t="str">
        <x:f>IF($C453="","",IFERROR(VLOOKUP($C453,Matches!$A$2:$Q$200,5,FALSE),"Unknown"))</x:f>
      </x:c>
      <x:c r="I453" s="60" t="str">
        <x:f>IF($C453="","",IFERROR(VLOOKUP($C453,Matches!$A$2:$Q$200,16,FALSE),""))</x:f>
      </x:c>
      <x:c r="J453" s="18" t="str">
        <x:f>IF($C453="","",IFERROR(VLOOKUP($C453,Matches!$A$2:$Q$200,11,FALSE),""))</x:f>
      </x:c>
      <x:c r="K453" s="18" t="str">
        <x:f>IF($C453="","",IFERROR(VLOOKUP($C453,Matches!$A$2:$Q$200,12,FALSE),""))</x:f>
      </x:c>
      <x:c r="L453" s="18" t="str">
        <x:f>IF($A453="","",IF($C453=1,"Yes",IF(OR($I453="",$A453&lt;$I453),"Yes","Late")))</x:f>
      </x:c>
      <x:c r="M453" s="66" t="str">
        <x:f>IF($A453="","",IF($L453&lt;&gt;"Yes",0,IF($E453="",0,IF($J453="",0,IF($H453="Group",IF($E453=$J453,Setup!$H$2,Setup!$H$3),IF($E453=$K453,Setup!$H$2,Setup!$H$3))))))</x:f>
      </x:c>
      <x:c r="N453" s="66" t="str">
        <x:f>IF($A453="","",IF($L453&lt;&gt;"Yes",0,IF(OR($F453="",$G453=""),0,IF(AND($F453=VLOOKUP($C453,Matches!$A$2:$Q$200,9,FALSE),$G453=VLOOKUP($C453,Matches!$A$2:$Q$200,10,FALSE)),Setup!$H$5,0))))</x:f>
      </x:c>
      <x:c r="O453" s="66" t="str">
        <x:f>IF($A453="","",$M453+$N453)</x:f>
      </x:c>
      <x:c r="P453" s="18" t="str">
        <x:f>IF($A453="","",IF($L453="Late","Late - 0 points",IF($J453="","Waiting for result",IF($O453&gt;0,"Scored",IF($O453&lt;0,"Wrong pick","No points")))))</x:f>
      </x:c>
    </x:row>
    <x:row r="454">
      <x:c r="A454" s="60" t="n">
        <x:f>'Form Responses 1'!A454</x:f>
        <x:v>0</x:v>
      </x:c>
      <x:c r="B454" s="18" t="n">
        <x:f>'Form Responses 1'!B454</x:f>
        <x:v>0</x:v>
      </x:c>
      <x:c r="C454" s="18" t="n">
        <x:f>'Form Responses 1'!C454</x:f>
        <x:v>0</x:v>
      </x:c>
      <x:c r="D454" s="18" t="n">
        <x:f>'Form Responses 1'!D454</x:f>
        <x:v>0</x:v>
      </x:c>
      <x:c r="E454" s="18" t="n">
        <x:f>'Form Responses 1'!E454</x:f>
        <x:v>0</x:v>
      </x:c>
      <x:c r="F454" s="18" t="n">
        <x:f>'Form Responses 1'!F454</x:f>
        <x:v>0</x:v>
      </x:c>
      <x:c r="G454" s="18" t="n">
        <x:f>'Form Responses 1'!G454</x:f>
        <x:v>0</x:v>
      </x:c>
      <x:c r="H454" s="18" t="str">
        <x:f>IF($C454="","",IFERROR(VLOOKUP($C454,Matches!$A$2:$Q$200,5,FALSE),"Unknown"))</x:f>
      </x:c>
      <x:c r="I454" s="60" t="str">
        <x:f>IF($C454="","",IFERROR(VLOOKUP($C454,Matches!$A$2:$Q$200,16,FALSE),""))</x:f>
      </x:c>
      <x:c r="J454" s="18" t="str">
        <x:f>IF($C454="","",IFERROR(VLOOKUP($C454,Matches!$A$2:$Q$200,11,FALSE),""))</x:f>
      </x:c>
      <x:c r="K454" s="18" t="str">
        <x:f>IF($C454="","",IFERROR(VLOOKUP($C454,Matches!$A$2:$Q$200,12,FALSE),""))</x:f>
      </x:c>
      <x:c r="L454" s="18" t="str">
        <x:f>IF($A454="","",IF($C454=1,"Yes",IF(OR($I454="",$A454&lt;$I454),"Yes","Late")))</x:f>
      </x:c>
      <x:c r="M454" s="66" t="str">
        <x:f>IF($A454="","",IF($L454&lt;&gt;"Yes",0,IF($E454="",0,IF($J454="",0,IF($H454="Group",IF($E454=$J454,Setup!$H$2,Setup!$H$3),IF($E454=$K454,Setup!$H$2,Setup!$H$3))))))</x:f>
      </x:c>
      <x:c r="N454" s="66" t="str">
        <x:f>IF($A454="","",IF($L454&lt;&gt;"Yes",0,IF(OR($F454="",$G454=""),0,IF(AND($F454=VLOOKUP($C454,Matches!$A$2:$Q$200,9,FALSE),$G454=VLOOKUP($C454,Matches!$A$2:$Q$200,10,FALSE)),Setup!$H$5,0))))</x:f>
      </x:c>
      <x:c r="O454" s="66" t="str">
        <x:f>IF($A454="","",$M454+$N454)</x:f>
      </x:c>
      <x:c r="P454" s="18" t="str">
        <x:f>IF($A454="","",IF($L454="Late","Late - 0 points",IF($J454="","Waiting for result",IF($O454&gt;0,"Scored",IF($O454&lt;0,"Wrong pick","No points")))))</x:f>
      </x:c>
    </x:row>
    <x:row r="455">
      <x:c r="A455" s="60" t="n">
        <x:f>'Form Responses 1'!A455</x:f>
        <x:v>0</x:v>
      </x:c>
      <x:c r="B455" s="18" t="n">
        <x:f>'Form Responses 1'!B455</x:f>
        <x:v>0</x:v>
      </x:c>
      <x:c r="C455" s="18" t="n">
        <x:f>'Form Responses 1'!C455</x:f>
        <x:v>0</x:v>
      </x:c>
      <x:c r="D455" s="18" t="n">
        <x:f>'Form Responses 1'!D455</x:f>
        <x:v>0</x:v>
      </x:c>
      <x:c r="E455" s="18" t="n">
        <x:f>'Form Responses 1'!E455</x:f>
        <x:v>0</x:v>
      </x:c>
      <x:c r="F455" s="18" t="n">
        <x:f>'Form Responses 1'!F455</x:f>
        <x:v>0</x:v>
      </x:c>
      <x:c r="G455" s="18" t="n">
        <x:f>'Form Responses 1'!G455</x:f>
        <x:v>0</x:v>
      </x:c>
      <x:c r="H455" s="18" t="str">
        <x:f>IF($C455="","",IFERROR(VLOOKUP($C455,Matches!$A$2:$Q$200,5,FALSE),"Unknown"))</x:f>
      </x:c>
      <x:c r="I455" s="60" t="str">
        <x:f>IF($C455="","",IFERROR(VLOOKUP($C455,Matches!$A$2:$Q$200,16,FALSE),""))</x:f>
      </x:c>
      <x:c r="J455" s="18" t="str">
        <x:f>IF($C455="","",IFERROR(VLOOKUP($C455,Matches!$A$2:$Q$200,11,FALSE),""))</x:f>
      </x:c>
      <x:c r="K455" s="18" t="str">
        <x:f>IF($C455="","",IFERROR(VLOOKUP($C455,Matches!$A$2:$Q$200,12,FALSE),""))</x:f>
      </x:c>
      <x:c r="L455" s="18" t="str">
        <x:f>IF($A455="","",IF($C455=1,"Yes",IF(OR($I455="",$A455&lt;$I455),"Yes","Late")))</x:f>
      </x:c>
      <x:c r="M455" s="66" t="str">
        <x:f>IF($A455="","",IF($L455&lt;&gt;"Yes",0,IF($E455="",0,IF($J455="",0,IF($H455="Group",IF($E455=$J455,Setup!$H$2,Setup!$H$3),IF($E455=$K455,Setup!$H$2,Setup!$H$3))))))</x:f>
      </x:c>
      <x:c r="N455" s="66" t="str">
        <x:f>IF($A455="","",IF($L455&lt;&gt;"Yes",0,IF(OR($F455="",$G455=""),0,IF(AND($F455=VLOOKUP($C455,Matches!$A$2:$Q$200,9,FALSE),$G455=VLOOKUP($C455,Matches!$A$2:$Q$200,10,FALSE)),Setup!$H$5,0))))</x:f>
      </x:c>
      <x:c r="O455" s="66" t="str">
        <x:f>IF($A455="","",$M455+$N455)</x:f>
      </x:c>
      <x:c r="P455" s="18" t="str">
        <x:f>IF($A455="","",IF($L455="Late","Late - 0 points",IF($J455="","Waiting for result",IF($O455&gt;0,"Scored",IF($O455&lt;0,"Wrong pick","No points")))))</x:f>
      </x:c>
    </x:row>
    <x:row r="456">
      <x:c r="A456" s="60" t="n">
        <x:f>'Form Responses 1'!A456</x:f>
        <x:v>0</x:v>
      </x:c>
      <x:c r="B456" s="18" t="n">
        <x:f>'Form Responses 1'!B456</x:f>
        <x:v>0</x:v>
      </x:c>
      <x:c r="C456" s="18" t="n">
        <x:f>'Form Responses 1'!C456</x:f>
        <x:v>0</x:v>
      </x:c>
      <x:c r="D456" s="18" t="n">
        <x:f>'Form Responses 1'!D456</x:f>
        <x:v>0</x:v>
      </x:c>
      <x:c r="E456" s="18" t="n">
        <x:f>'Form Responses 1'!E456</x:f>
        <x:v>0</x:v>
      </x:c>
      <x:c r="F456" s="18" t="n">
        <x:f>'Form Responses 1'!F456</x:f>
        <x:v>0</x:v>
      </x:c>
      <x:c r="G456" s="18" t="n">
        <x:f>'Form Responses 1'!G456</x:f>
        <x:v>0</x:v>
      </x:c>
      <x:c r="H456" s="18" t="str">
        <x:f>IF($C456="","",IFERROR(VLOOKUP($C456,Matches!$A$2:$Q$200,5,FALSE),"Unknown"))</x:f>
      </x:c>
      <x:c r="I456" s="60" t="str">
        <x:f>IF($C456="","",IFERROR(VLOOKUP($C456,Matches!$A$2:$Q$200,16,FALSE),""))</x:f>
      </x:c>
      <x:c r="J456" s="18" t="str">
        <x:f>IF($C456="","",IFERROR(VLOOKUP($C456,Matches!$A$2:$Q$200,11,FALSE),""))</x:f>
      </x:c>
      <x:c r="K456" s="18" t="str">
        <x:f>IF($C456="","",IFERROR(VLOOKUP($C456,Matches!$A$2:$Q$200,12,FALSE),""))</x:f>
      </x:c>
      <x:c r="L456" s="18" t="str">
        <x:f>IF($A456="","",IF($C456=1,"Yes",IF(OR($I456="",$A456&lt;$I456),"Yes","Late")))</x:f>
      </x:c>
      <x:c r="M456" s="66" t="str">
        <x:f>IF($A456="","",IF($L456&lt;&gt;"Yes",0,IF($E456="",0,IF($J456="",0,IF($H456="Group",IF($E456=$J456,Setup!$H$2,Setup!$H$3),IF($E456=$K456,Setup!$H$2,Setup!$H$3))))))</x:f>
      </x:c>
      <x:c r="N456" s="66" t="str">
        <x:f>IF($A456="","",IF($L456&lt;&gt;"Yes",0,IF(OR($F456="",$G456=""),0,IF(AND($F456=VLOOKUP($C456,Matches!$A$2:$Q$200,9,FALSE),$G456=VLOOKUP($C456,Matches!$A$2:$Q$200,10,FALSE)),Setup!$H$5,0))))</x:f>
      </x:c>
      <x:c r="O456" s="66" t="str">
        <x:f>IF($A456="","",$M456+$N456)</x:f>
      </x:c>
      <x:c r="P456" s="18" t="str">
        <x:f>IF($A456="","",IF($L456="Late","Late - 0 points",IF($J456="","Waiting for result",IF($O456&gt;0,"Scored",IF($O456&lt;0,"Wrong pick","No points")))))</x:f>
      </x:c>
    </x:row>
    <x:row r="457">
      <x:c r="A457" s="60" t="n">
        <x:f>'Form Responses 1'!A457</x:f>
        <x:v>0</x:v>
      </x:c>
      <x:c r="B457" s="18" t="n">
        <x:f>'Form Responses 1'!B457</x:f>
        <x:v>0</x:v>
      </x:c>
      <x:c r="C457" s="18" t="n">
        <x:f>'Form Responses 1'!C457</x:f>
        <x:v>0</x:v>
      </x:c>
      <x:c r="D457" s="18" t="n">
        <x:f>'Form Responses 1'!D457</x:f>
        <x:v>0</x:v>
      </x:c>
      <x:c r="E457" s="18" t="n">
        <x:f>'Form Responses 1'!E457</x:f>
        <x:v>0</x:v>
      </x:c>
      <x:c r="F457" s="18" t="n">
        <x:f>'Form Responses 1'!F457</x:f>
        <x:v>0</x:v>
      </x:c>
      <x:c r="G457" s="18" t="n">
        <x:f>'Form Responses 1'!G457</x:f>
        <x:v>0</x:v>
      </x:c>
      <x:c r="H457" s="18" t="str">
        <x:f>IF($C457="","",IFERROR(VLOOKUP($C457,Matches!$A$2:$Q$200,5,FALSE),"Unknown"))</x:f>
      </x:c>
      <x:c r="I457" s="60" t="str">
        <x:f>IF($C457="","",IFERROR(VLOOKUP($C457,Matches!$A$2:$Q$200,16,FALSE),""))</x:f>
      </x:c>
      <x:c r="J457" s="18" t="str">
        <x:f>IF($C457="","",IFERROR(VLOOKUP($C457,Matches!$A$2:$Q$200,11,FALSE),""))</x:f>
      </x:c>
      <x:c r="K457" s="18" t="str">
        <x:f>IF($C457="","",IFERROR(VLOOKUP($C457,Matches!$A$2:$Q$200,12,FALSE),""))</x:f>
      </x:c>
      <x:c r="L457" s="18" t="str">
        <x:f>IF($A457="","",IF($C457=1,"Yes",IF(OR($I457="",$A457&lt;$I457),"Yes","Late")))</x:f>
      </x:c>
      <x:c r="M457" s="66" t="str">
        <x:f>IF($A457="","",IF($L457&lt;&gt;"Yes",0,IF($E457="",0,IF($J457="",0,IF($H457="Group",IF($E457=$J457,Setup!$H$2,Setup!$H$3),IF($E457=$K457,Setup!$H$2,Setup!$H$3))))))</x:f>
      </x:c>
      <x:c r="N457" s="66" t="str">
        <x:f>IF($A457="","",IF($L457&lt;&gt;"Yes",0,IF(OR($F457="",$G457=""),0,IF(AND($F457=VLOOKUP($C457,Matches!$A$2:$Q$200,9,FALSE),$G457=VLOOKUP($C457,Matches!$A$2:$Q$200,10,FALSE)),Setup!$H$5,0))))</x:f>
      </x:c>
      <x:c r="O457" s="66" t="str">
        <x:f>IF($A457="","",$M457+$N457)</x:f>
      </x:c>
      <x:c r="P457" s="18" t="str">
        <x:f>IF($A457="","",IF($L457="Late","Late - 0 points",IF($J457="","Waiting for result",IF($O457&gt;0,"Scored",IF($O457&lt;0,"Wrong pick","No points")))))</x:f>
      </x:c>
    </x:row>
    <x:row r="458">
      <x:c r="A458" s="60" t="n">
        <x:f>'Form Responses 1'!A458</x:f>
        <x:v>0</x:v>
      </x:c>
      <x:c r="B458" s="18" t="n">
        <x:f>'Form Responses 1'!B458</x:f>
        <x:v>0</x:v>
      </x:c>
      <x:c r="C458" s="18" t="n">
        <x:f>'Form Responses 1'!C458</x:f>
        <x:v>0</x:v>
      </x:c>
      <x:c r="D458" s="18" t="n">
        <x:f>'Form Responses 1'!D458</x:f>
        <x:v>0</x:v>
      </x:c>
      <x:c r="E458" s="18" t="n">
        <x:f>'Form Responses 1'!E458</x:f>
        <x:v>0</x:v>
      </x:c>
      <x:c r="F458" s="18" t="n">
        <x:f>'Form Responses 1'!F458</x:f>
        <x:v>0</x:v>
      </x:c>
      <x:c r="G458" s="18" t="n">
        <x:f>'Form Responses 1'!G458</x:f>
        <x:v>0</x:v>
      </x:c>
      <x:c r="H458" s="18" t="str">
        <x:f>IF($C458="","",IFERROR(VLOOKUP($C458,Matches!$A$2:$Q$200,5,FALSE),"Unknown"))</x:f>
      </x:c>
      <x:c r="I458" s="60" t="str">
        <x:f>IF($C458="","",IFERROR(VLOOKUP($C458,Matches!$A$2:$Q$200,16,FALSE),""))</x:f>
      </x:c>
      <x:c r="J458" s="18" t="str">
        <x:f>IF($C458="","",IFERROR(VLOOKUP($C458,Matches!$A$2:$Q$200,11,FALSE),""))</x:f>
      </x:c>
      <x:c r="K458" s="18" t="str">
        <x:f>IF($C458="","",IFERROR(VLOOKUP($C458,Matches!$A$2:$Q$200,12,FALSE),""))</x:f>
      </x:c>
      <x:c r="L458" s="18" t="str">
        <x:f>IF($A458="","",IF($C458=1,"Yes",IF(OR($I458="",$A458&lt;$I458),"Yes","Late")))</x:f>
      </x:c>
      <x:c r="M458" s="66" t="str">
        <x:f>IF($A458="","",IF($L458&lt;&gt;"Yes",0,IF($E458="",0,IF($J458="",0,IF($H458="Group",IF($E458=$J458,Setup!$H$2,Setup!$H$3),IF($E458=$K458,Setup!$H$2,Setup!$H$3))))))</x:f>
      </x:c>
      <x:c r="N458" s="66" t="str">
        <x:f>IF($A458="","",IF($L458&lt;&gt;"Yes",0,IF(OR($F458="",$G458=""),0,IF(AND($F458=VLOOKUP($C458,Matches!$A$2:$Q$200,9,FALSE),$G458=VLOOKUP($C458,Matches!$A$2:$Q$200,10,FALSE)),Setup!$H$5,0))))</x:f>
      </x:c>
      <x:c r="O458" s="66" t="str">
        <x:f>IF($A458="","",$M458+$N458)</x:f>
      </x:c>
      <x:c r="P458" s="18" t="str">
        <x:f>IF($A458="","",IF($L458="Late","Late - 0 points",IF($J458="","Waiting for result",IF($O458&gt;0,"Scored",IF($O458&lt;0,"Wrong pick","No points")))))</x:f>
      </x:c>
    </x:row>
    <x:row r="459">
      <x:c r="A459" s="60" t="n">
        <x:f>'Form Responses 1'!A459</x:f>
        <x:v>0</x:v>
      </x:c>
      <x:c r="B459" s="18" t="n">
        <x:f>'Form Responses 1'!B459</x:f>
        <x:v>0</x:v>
      </x:c>
      <x:c r="C459" s="18" t="n">
        <x:f>'Form Responses 1'!C459</x:f>
        <x:v>0</x:v>
      </x:c>
      <x:c r="D459" s="18" t="n">
        <x:f>'Form Responses 1'!D459</x:f>
        <x:v>0</x:v>
      </x:c>
      <x:c r="E459" s="18" t="n">
        <x:f>'Form Responses 1'!E459</x:f>
        <x:v>0</x:v>
      </x:c>
      <x:c r="F459" s="18" t="n">
        <x:f>'Form Responses 1'!F459</x:f>
        <x:v>0</x:v>
      </x:c>
      <x:c r="G459" s="18" t="n">
        <x:f>'Form Responses 1'!G459</x:f>
        <x:v>0</x:v>
      </x:c>
      <x:c r="H459" s="18" t="str">
        <x:f>IF($C459="","",IFERROR(VLOOKUP($C459,Matches!$A$2:$Q$200,5,FALSE),"Unknown"))</x:f>
      </x:c>
      <x:c r="I459" s="60" t="str">
        <x:f>IF($C459="","",IFERROR(VLOOKUP($C459,Matches!$A$2:$Q$200,16,FALSE),""))</x:f>
      </x:c>
      <x:c r="J459" s="18" t="str">
        <x:f>IF($C459="","",IFERROR(VLOOKUP($C459,Matches!$A$2:$Q$200,11,FALSE),""))</x:f>
      </x:c>
      <x:c r="K459" s="18" t="str">
        <x:f>IF($C459="","",IFERROR(VLOOKUP($C459,Matches!$A$2:$Q$200,12,FALSE),""))</x:f>
      </x:c>
      <x:c r="L459" s="18" t="str">
        <x:f>IF($A459="","",IF($C459=1,"Yes",IF(OR($I459="",$A459&lt;$I459),"Yes","Late")))</x:f>
      </x:c>
      <x:c r="M459" s="66" t="str">
        <x:f>IF($A459="","",IF($L459&lt;&gt;"Yes",0,IF($E459="",0,IF($J459="",0,IF($H459="Group",IF($E459=$J459,Setup!$H$2,Setup!$H$3),IF($E459=$K459,Setup!$H$2,Setup!$H$3))))))</x:f>
      </x:c>
      <x:c r="N459" s="66" t="str">
        <x:f>IF($A459="","",IF($L459&lt;&gt;"Yes",0,IF(OR($F459="",$G459=""),0,IF(AND($F459=VLOOKUP($C459,Matches!$A$2:$Q$200,9,FALSE),$G459=VLOOKUP($C459,Matches!$A$2:$Q$200,10,FALSE)),Setup!$H$5,0))))</x:f>
      </x:c>
      <x:c r="O459" s="66" t="str">
        <x:f>IF($A459="","",$M459+$N459)</x:f>
      </x:c>
      <x:c r="P459" s="18" t="str">
        <x:f>IF($A459="","",IF($L459="Late","Late - 0 points",IF($J459="","Waiting for result",IF($O459&gt;0,"Scored",IF($O459&lt;0,"Wrong pick","No points")))))</x:f>
      </x:c>
    </x:row>
    <x:row r="460">
      <x:c r="A460" s="60" t="n">
        <x:f>'Form Responses 1'!A460</x:f>
        <x:v>0</x:v>
      </x:c>
      <x:c r="B460" s="18" t="n">
        <x:f>'Form Responses 1'!B460</x:f>
        <x:v>0</x:v>
      </x:c>
      <x:c r="C460" s="18" t="n">
        <x:f>'Form Responses 1'!C460</x:f>
        <x:v>0</x:v>
      </x:c>
      <x:c r="D460" s="18" t="n">
        <x:f>'Form Responses 1'!D460</x:f>
        <x:v>0</x:v>
      </x:c>
      <x:c r="E460" s="18" t="n">
        <x:f>'Form Responses 1'!E460</x:f>
        <x:v>0</x:v>
      </x:c>
      <x:c r="F460" s="18" t="n">
        <x:f>'Form Responses 1'!F460</x:f>
        <x:v>0</x:v>
      </x:c>
      <x:c r="G460" s="18" t="n">
        <x:f>'Form Responses 1'!G460</x:f>
        <x:v>0</x:v>
      </x:c>
      <x:c r="H460" s="18" t="str">
        <x:f>IF($C460="","",IFERROR(VLOOKUP($C460,Matches!$A$2:$Q$200,5,FALSE),"Unknown"))</x:f>
      </x:c>
      <x:c r="I460" s="60" t="str">
        <x:f>IF($C460="","",IFERROR(VLOOKUP($C460,Matches!$A$2:$Q$200,16,FALSE),""))</x:f>
      </x:c>
      <x:c r="J460" s="18" t="str">
        <x:f>IF($C460="","",IFERROR(VLOOKUP($C460,Matches!$A$2:$Q$200,11,FALSE),""))</x:f>
      </x:c>
      <x:c r="K460" s="18" t="str">
        <x:f>IF($C460="","",IFERROR(VLOOKUP($C460,Matches!$A$2:$Q$200,12,FALSE),""))</x:f>
      </x:c>
      <x:c r="L460" s="18" t="str">
        <x:f>IF($A460="","",IF($C460=1,"Yes",IF(OR($I460="",$A460&lt;$I460),"Yes","Late")))</x:f>
      </x:c>
      <x:c r="M460" s="66" t="str">
        <x:f>IF($A460="","",IF($L460&lt;&gt;"Yes",0,IF($E460="",0,IF($J460="",0,IF($H460="Group",IF($E460=$J460,Setup!$H$2,Setup!$H$3),IF($E460=$K460,Setup!$H$2,Setup!$H$3))))))</x:f>
      </x:c>
      <x:c r="N460" s="66" t="str">
        <x:f>IF($A460="","",IF($L460&lt;&gt;"Yes",0,IF(OR($F460="",$G460=""),0,IF(AND($F460=VLOOKUP($C460,Matches!$A$2:$Q$200,9,FALSE),$G460=VLOOKUP($C460,Matches!$A$2:$Q$200,10,FALSE)),Setup!$H$5,0))))</x:f>
      </x:c>
      <x:c r="O460" s="66" t="str">
        <x:f>IF($A460="","",$M460+$N460)</x:f>
      </x:c>
      <x:c r="P460" s="18" t="str">
        <x:f>IF($A460="","",IF($L460="Late","Late - 0 points",IF($J460="","Waiting for result",IF($O460&gt;0,"Scored",IF($O460&lt;0,"Wrong pick","No points")))))</x:f>
      </x:c>
    </x:row>
    <x:row r="461">
      <x:c r="A461" s="60" t="n">
        <x:f>'Form Responses 1'!A461</x:f>
        <x:v>0</x:v>
      </x:c>
      <x:c r="B461" s="18" t="n">
        <x:f>'Form Responses 1'!B461</x:f>
        <x:v>0</x:v>
      </x:c>
      <x:c r="C461" s="18" t="n">
        <x:f>'Form Responses 1'!C461</x:f>
        <x:v>0</x:v>
      </x:c>
      <x:c r="D461" s="18" t="n">
        <x:f>'Form Responses 1'!D461</x:f>
        <x:v>0</x:v>
      </x:c>
      <x:c r="E461" s="18" t="n">
        <x:f>'Form Responses 1'!E461</x:f>
        <x:v>0</x:v>
      </x:c>
      <x:c r="F461" s="18" t="n">
        <x:f>'Form Responses 1'!F461</x:f>
        <x:v>0</x:v>
      </x:c>
      <x:c r="G461" s="18" t="n">
        <x:f>'Form Responses 1'!G461</x:f>
        <x:v>0</x:v>
      </x:c>
      <x:c r="H461" s="18" t="str">
        <x:f>IF($C461="","",IFERROR(VLOOKUP($C461,Matches!$A$2:$Q$200,5,FALSE),"Unknown"))</x:f>
      </x:c>
      <x:c r="I461" s="60" t="str">
        <x:f>IF($C461="","",IFERROR(VLOOKUP($C461,Matches!$A$2:$Q$200,16,FALSE),""))</x:f>
      </x:c>
      <x:c r="J461" s="18" t="str">
        <x:f>IF($C461="","",IFERROR(VLOOKUP($C461,Matches!$A$2:$Q$200,11,FALSE),""))</x:f>
      </x:c>
      <x:c r="K461" s="18" t="str">
        <x:f>IF($C461="","",IFERROR(VLOOKUP($C461,Matches!$A$2:$Q$200,12,FALSE),""))</x:f>
      </x:c>
      <x:c r="L461" s="18" t="str">
        <x:f>IF($A461="","",IF($C461=1,"Yes",IF(OR($I461="",$A461&lt;$I461),"Yes","Late")))</x:f>
      </x:c>
      <x:c r="M461" s="66" t="str">
        <x:f>IF($A461="","",IF($L461&lt;&gt;"Yes",0,IF($E461="",0,IF($J461="",0,IF($H461="Group",IF($E461=$J461,Setup!$H$2,Setup!$H$3),IF($E461=$K461,Setup!$H$2,Setup!$H$3))))))</x:f>
      </x:c>
      <x:c r="N461" s="66" t="str">
        <x:f>IF($A461="","",IF($L461&lt;&gt;"Yes",0,IF(OR($F461="",$G461=""),0,IF(AND($F461=VLOOKUP($C461,Matches!$A$2:$Q$200,9,FALSE),$G461=VLOOKUP($C461,Matches!$A$2:$Q$200,10,FALSE)),Setup!$H$5,0))))</x:f>
      </x:c>
      <x:c r="O461" s="66" t="str">
        <x:f>IF($A461="","",$M461+$N461)</x:f>
      </x:c>
      <x:c r="P461" s="18" t="str">
        <x:f>IF($A461="","",IF($L461="Late","Late - 0 points",IF($J461="","Waiting for result",IF($O461&gt;0,"Scored",IF($O461&lt;0,"Wrong pick","No points")))))</x:f>
      </x:c>
    </x:row>
    <x:row r="462">
      <x:c r="A462" s="60" t="n">
        <x:f>'Form Responses 1'!A462</x:f>
        <x:v>0</x:v>
      </x:c>
      <x:c r="B462" s="18" t="n">
        <x:f>'Form Responses 1'!B462</x:f>
        <x:v>0</x:v>
      </x:c>
      <x:c r="C462" s="18" t="n">
        <x:f>'Form Responses 1'!C462</x:f>
        <x:v>0</x:v>
      </x:c>
      <x:c r="D462" s="18" t="n">
        <x:f>'Form Responses 1'!D462</x:f>
        <x:v>0</x:v>
      </x:c>
      <x:c r="E462" s="18" t="n">
        <x:f>'Form Responses 1'!E462</x:f>
        <x:v>0</x:v>
      </x:c>
      <x:c r="F462" s="18" t="n">
        <x:f>'Form Responses 1'!F462</x:f>
        <x:v>0</x:v>
      </x:c>
      <x:c r="G462" s="18" t="n">
        <x:f>'Form Responses 1'!G462</x:f>
        <x:v>0</x:v>
      </x:c>
      <x:c r="H462" s="18" t="str">
        <x:f>IF($C462="","",IFERROR(VLOOKUP($C462,Matches!$A$2:$Q$200,5,FALSE),"Unknown"))</x:f>
      </x:c>
      <x:c r="I462" s="60" t="str">
        <x:f>IF($C462="","",IFERROR(VLOOKUP($C462,Matches!$A$2:$Q$200,16,FALSE),""))</x:f>
      </x:c>
      <x:c r="J462" s="18" t="str">
        <x:f>IF($C462="","",IFERROR(VLOOKUP($C462,Matches!$A$2:$Q$200,11,FALSE),""))</x:f>
      </x:c>
      <x:c r="K462" s="18" t="str">
        <x:f>IF($C462="","",IFERROR(VLOOKUP($C462,Matches!$A$2:$Q$200,12,FALSE),""))</x:f>
      </x:c>
      <x:c r="L462" s="18" t="str">
        <x:f>IF($A462="","",IF($C462=1,"Yes",IF(OR($I462="",$A462&lt;$I462),"Yes","Late")))</x:f>
      </x:c>
      <x:c r="M462" s="66" t="str">
        <x:f>IF($A462="","",IF($L462&lt;&gt;"Yes",0,IF($E462="",0,IF($J462="",0,IF($H462="Group",IF($E462=$J462,Setup!$H$2,Setup!$H$3),IF($E462=$K462,Setup!$H$2,Setup!$H$3))))))</x:f>
      </x:c>
      <x:c r="N462" s="66" t="str">
        <x:f>IF($A462="","",IF($L462&lt;&gt;"Yes",0,IF(OR($F462="",$G462=""),0,IF(AND($F462=VLOOKUP($C462,Matches!$A$2:$Q$200,9,FALSE),$G462=VLOOKUP($C462,Matches!$A$2:$Q$200,10,FALSE)),Setup!$H$5,0))))</x:f>
      </x:c>
      <x:c r="O462" s="66" t="str">
        <x:f>IF($A462="","",$M462+$N462)</x:f>
      </x:c>
      <x:c r="P462" s="18" t="str">
        <x:f>IF($A462="","",IF($L462="Late","Late - 0 points",IF($J462="","Waiting for result",IF($O462&gt;0,"Scored",IF($O462&lt;0,"Wrong pick","No points")))))</x:f>
      </x:c>
    </x:row>
    <x:row r="463">
      <x:c r="A463" s="60" t="n">
        <x:f>'Form Responses 1'!A463</x:f>
        <x:v>0</x:v>
      </x:c>
      <x:c r="B463" s="18" t="n">
        <x:f>'Form Responses 1'!B463</x:f>
        <x:v>0</x:v>
      </x:c>
      <x:c r="C463" s="18" t="n">
        <x:f>'Form Responses 1'!C463</x:f>
        <x:v>0</x:v>
      </x:c>
      <x:c r="D463" s="18" t="n">
        <x:f>'Form Responses 1'!D463</x:f>
        <x:v>0</x:v>
      </x:c>
      <x:c r="E463" s="18" t="n">
        <x:f>'Form Responses 1'!E463</x:f>
        <x:v>0</x:v>
      </x:c>
      <x:c r="F463" s="18" t="n">
        <x:f>'Form Responses 1'!F463</x:f>
        <x:v>0</x:v>
      </x:c>
      <x:c r="G463" s="18" t="n">
        <x:f>'Form Responses 1'!G463</x:f>
        <x:v>0</x:v>
      </x:c>
      <x:c r="H463" s="18" t="str">
        <x:f>IF($C463="","",IFERROR(VLOOKUP($C463,Matches!$A$2:$Q$200,5,FALSE),"Unknown"))</x:f>
      </x:c>
      <x:c r="I463" s="60" t="str">
        <x:f>IF($C463="","",IFERROR(VLOOKUP($C463,Matches!$A$2:$Q$200,16,FALSE),""))</x:f>
      </x:c>
      <x:c r="J463" s="18" t="str">
        <x:f>IF($C463="","",IFERROR(VLOOKUP($C463,Matches!$A$2:$Q$200,11,FALSE),""))</x:f>
      </x:c>
      <x:c r="K463" s="18" t="str">
        <x:f>IF($C463="","",IFERROR(VLOOKUP($C463,Matches!$A$2:$Q$200,12,FALSE),""))</x:f>
      </x:c>
      <x:c r="L463" s="18" t="str">
        <x:f>IF($A463="","",IF($C463=1,"Yes",IF(OR($I463="",$A463&lt;$I463),"Yes","Late")))</x:f>
      </x:c>
      <x:c r="M463" s="66" t="str">
        <x:f>IF($A463="","",IF($L463&lt;&gt;"Yes",0,IF($E463="",0,IF($J463="",0,IF($H463="Group",IF($E463=$J463,Setup!$H$2,Setup!$H$3),IF($E463=$K463,Setup!$H$2,Setup!$H$3))))))</x:f>
      </x:c>
      <x:c r="N463" s="66" t="str">
        <x:f>IF($A463="","",IF($L463&lt;&gt;"Yes",0,IF(OR($F463="",$G463=""),0,IF(AND($F463=VLOOKUP($C463,Matches!$A$2:$Q$200,9,FALSE),$G463=VLOOKUP($C463,Matches!$A$2:$Q$200,10,FALSE)),Setup!$H$5,0))))</x:f>
      </x:c>
      <x:c r="O463" s="66" t="str">
        <x:f>IF($A463="","",$M463+$N463)</x:f>
      </x:c>
      <x:c r="P463" s="18" t="str">
        <x:f>IF($A463="","",IF($L463="Late","Late - 0 points",IF($J463="","Waiting for result",IF($O463&gt;0,"Scored",IF($O463&lt;0,"Wrong pick","No points")))))</x:f>
      </x:c>
    </x:row>
    <x:row r="464">
      <x:c r="A464" s="60" t="n">
        <x:f>'Form Responses 1'!A464</x:f>
        <x:v>0</x:v>
      </x:c>
      <x:c r="B464" s="18" t="n">
        <x:f>'Form Responses 1'!B464</x:f>
        <x:v>0</x:v>
      </x:c>
      <x:c r="C464" s="18" t="n">
        <x:f>'Form Responses 1'!C464</x:f>
        <x:v>0</x:v>
      </x:c>
      <x:c r="D464" s="18" t="n">
        <x:f>'Form Responses 1'!D464</x:f>
        <x:v>0</x:v>
      </x:c>
      <x:c r="E464" s="18" t="n">
        <x:f>'Form Responses 1'!E464</x:f>
        <x:v>0</x:v>
      </x:c>
      <x:c r="F464" s="18" t="n">
        <x:f>'Form Responses 1'!F464</x:f>
        <x:v>0</x:v>
      </x:c>
      <x:c r="G464" s="18" t="n">
        <x:f>'Form Responses 1'!G464</x:f>
        <x:v>0</x:v>
      </x:c>
      <x:c r="H464" s="18" t="str">
        <x:f>IF($C464="","",IFERROR(VLOOKUP($C464,Matches!$A$2:$Q$200,5,FALSE),"Unknown"))</x:f>
      </x:c>
      <x:c r="I464" s="60" t="str">
        <x:f>IF($C464="","",IFERROR(VLOOKUP($C464,Matches!$A$2:$Q$200,16,FALSE),""))</x:f>
      </x:c>
      <x:c r="J464" s="18" t="str">
        <x:f>IF($C464="","",IFERROR(VLOOKUP($C464,Matches!$A$2:$Q$200,11,FALSE),""))</x:f>
      </x:c>
      <x:c r="K464" s="18" t="str">
        <x:f>IF($C464="","",IFERROR(VLOOKUP($C464,Matches!$A$2:$Q$200,12,FALSE),""))</x:f>
      </x:c>
      <x:c r="L464" s="18" t="str">
        <x:f>IF($A464="","",IF($C464=1,"Yes",IF(OR($I464="",$A464&lt;$I464),"Yes","Late")))</x:f>
      </x:c>
      <x:c r="M464" s="66" t="str">
        <x:f>IF($A464="","",IF($L464&lt;&gt;"Yes",0,IF($E464="",0,IF($J464="",0,IF($H464="Group",IF($E464=$J464,Setup!$H$2,Setup!$H$3),IF($E464=$K464,Setup!$H$2,Setup!$H$3))))))</x:f>
      </x:c>
      <x:c r="N464" s="66" t="str">
        <x:f>IF($A464="","",IF($L464&lt;&gt;"Yes",0,IF(OR($F464="",$G464=""),0,IF(AND($F464=VLOOKUP($C464,Matches!$A$2:$Q$200,9,FALSE),$G464=VLOOKUP($C464,Matches!$A$2:$Q$200,10,FALSE)),Setup!$H$5,0))))</x:f>
      </x:c>
      <x:c r="O464" s="66" t="str">
        <x:f>IF($A464="","",$M464+$N464)</x:f>
      </x:c>
      <x:c r="P464" s="18" t="str">
        <x:f>IF($A464="","",IF($L464="Late","Late - 0 points",IF($J464="","Waiting for result",IF($O464&gt;0,"Scored",IF($O464&lt;0,"Wrong pick","No points")))))</x:f>
      </x:c>
    </x:row>
    <x:row r="465">
      <x:c r="A465" s="60" t="n">
        <x:f>'Form Responses 1'!A465</x:f>
        <x:v>0</x:v>
      </x:c>
      <x:c r="B465" s="18" t="n">
        <x:f>'Form Responses 1'!B465</x:f>
        <x:v>0</x:v>
      </x:c>
      <x:c r="C465" s="18" t="n">
        <x:f>'Form Responses 1'!C465</x:f>
        <x:v>0</x:v>
      </x:c>
      <x:c r="D465" s="18" t="n">
        <x:f>'Form Responses 1'!D465</x:f>
        <x:v>0</x:v>
      </x:c>
      <x:c r="E465" s="18" t="n">
        <x:f>'Form Responses 1'!E465</x:f>
        <x:v>0</x:v>
      </x:c>
      <x:c r="F465" s="18" t="n">
        <x:f>'Form Responses 1'!F465</x:f>
        <x:v>0</x:v>
      </x:c>
      <x:c r="G465" s="18" t="n">
        <x:f>'Form Responses 1'!G465</x:f>
        <x:v>0</x:v>
      </x:c>
      <x:c r="H465" s="18" t="str">
        <x:f>IF($C465="","",IFERROR(VLOOKUP($C465,Matches!$A$2:$Q$200,5,FALSE),"Unknown"))</x:f>
      </x:c>
      <x:c r="I465" s="60" t="str">
        <x:f>IF($C465="","",IFERROR(VLOOKUP($C465,Matches!$A$2:$Q$200,16,FALSE),""))</x:f>
      </x:c>
      <x:c r="J465" s="18" t="str">
        <x:f>IF($C465="","",IFERROR(VLOOKUP($C465,Matches!$A$2:$Q$200,11,FALSE),""))</x:f>
      </x:c>
      <x:c r="K465" s="18" t="str">
        <x:f>IF($C465="","",IFERROR(VLOOKUP($C465,Matches!$A$2:$Q$200,12,FALSE),""))</x:f>
      </x:c>
      <x:c r="L465" s="18" t="str">
        <x:f>IF($A465="","",IF($C465=1,"Yes",IF(OR($I465="",$A465&lt;$I465),"Yes","Late")))</x:f>
      </x:c>
      <x:c r="M465" s="66" t="str">
        <x:f>IF($A465="","",IF($L465&lt;&gt;"Yes",0,IF($E465="",0,IF($J465="",0,IF($H465="Group",IF($E465=$J465,Setup!$H$2,Setup!$H$3),IF($E465=$K465,Setup!$H$2,Setup!$H$3))))))</x:f>
      </x:c>
      <x:c r="N465" s="66" t="str">
        <x:f>IF($A465="","",IF($L465&lt;&gt;"Yes",0,IF(OR($F465="",$G465=""),0,IF(AND($F465=VLOOKUP($C465,Matches!$A$2:$Q$200,9,FALSE),$G465=VLOOKUP($C465,Matches!$A$2:$Q$200,10,FALSE)),Setup!$H$5,0))))</x:f>
      </x:c>
      <x:c r="O465" s="66" t="str">
        <x:f>IF($A465="","",$M465+$N465)</x:f>
      </x:c>
      <x:c r="P465" s="18" t="str">
        <x:f>IF($A465="","",IF($L465="Late","Late - 0 points",IF($J465="","Waiting for result",IF($O465&gt;0,"Scored",IF($O465&lt;0,"Wrong pick","No points")))))</x:f>
      </x:c>
    </x:row>
    <x:row r="466">
      <x:c r="A466" s="60" t="n">
        <x:f>'Form Responses 1'!A466</x:f>
        <x:v>0</x:v>
      </x:c>
      <x:c r="B466" s="18" t="n">
        <x:f>'Form Responses 1'!B466</x:f>
        <x:v>0</x:v>
      </x:c>
      <x:c r="C466" s="18" t="n">
        <x:f>'Form Responses 1'!C466</x:f>
        <x:v>0</x:v>
      </x:c>
      <x:c r="D466" s="18" t="n">
        <x:f>'Form Responses 1'!D466</x:f>
        <x:v>0</x:v>
      </x:c>
      <x:c r="E466" s="18" t="n">
        <x:f>'Form Responses 1'!E466</x:f>
        <x:v>0</x:v>
      </x:c>
      <x:c r="F466" s="18" t="n">
        <x:f>'Form Responses 1'!F466</x:f>
        <x:v>0</x:v>
      </x:c>
      <x:c r="G466" s="18" t="n">
        <x:f>'Form Responses 1'!G466</x:f>
        <x:v>0</x:v>
      </x:c>
      <x:c r="H466" s="18" t="str">
        <x:f>IF($C466="","",IFERROR(VLOOKUP($C466,Matches!$A$2:$Q$200,5,FALSE),"Unknown"))</x:f>
      </x:c>
      <x:c r="I466" s="60" t="str">
        <x:f>IF($C466="","",IFERROR(VLOOKUP($C466,Matches!$A$2:$Q$200,16,FALSE),""))</x:f>
      </x:c>
      <x:c r="J466" s="18" t="str">
        <x:f>IF($C466="","",IFERROR(VLOOKUP($C466,Matches!$A$2:$Q$200,11,FALSE),""))</x:f>
      </x:c>
      <x:c r="K466" s="18" t="str">
        <x:f>IF($C466="","",IFERROR(VLOOKUP($C466,Matches!$A$2:$Q$200,12,FALSE),""))</x:f>
      </x:c>
      <x:c r="L466" s="18" t="str">
        <x:f>IF($A466="","",IF($C466=1,"Yes",IF(OR($I466="",$A466&lt;$I466),"Yes","Late")))</x:f>
      </x:c>
      <x:c r="M466" s="66" t="str">
        <x:f>IF($A466="","",IF($L466&lt;&gt;"Yes",0,IF($E466="",0,IF($J466="",0,IF($H466="Group",IF($E466=$J466,Setup!$H$2,Setup!$H$3),IF($E466=$K466,Setup!$H$2,Setup!$H$3))))))</x:f>
      </x:c>
      <x:c r="N466" s="66" t="str">
        <x:f>IF($A466="","",IF($L466&lt;&gt;"Yes",0,IF(OR($F466="",$G466=""),0,IF(AND($F466=VLOOKUP($C466,Matches!$A$2:$Q$200,9,FALSE),$G466=VLOOKUP($C466,Matches!$A$2:$Q$200,10,FALSE)),Setup!$H$5,0))))</x:f>
      </x:c>
      <x:c r="O466" s="66" t="str">
        <x:f>IF($A466="","",$M466+$N466)</x:f>
      </x:c>
      <x:c r="P466" s="18" t="str">
        <x:f>IF($A466="","",IF($L466="Late","Late - 0 points",IF($J466="","Waiting for result",IF($O466&gt;0,"Scored",IF($O466&lt;0,"Wrong pick","No points")))))</x:f>
      </x:c>
    </x:row>
    <x:row r="467">
      <x:c r="A467" s="60" t="n">
        <x:f>'Form Responses 1'!A467</x:f>
        <x:v>0</x:v>
      </x:c>
      <x:c r="B467" s="18" t="n">
        <x:f>'Form Responses 1'!B467</x:f>
        <x:v>0</x:v>
      </x:c>
      <x:c r="C467" s="18" t="n">
        <x:f>'Form Responses 1'!C467</x:f>
        <x:v>0</x:v>
      </x:c>
      <x:c r="D467" s="18" t="n">
        <x:f>'Form Responses 1'!D467</x:f>
        <x:v>0</x:v>
      </x:c>
      <x:c r="E467" s="18" t="n">
        <x:f>'Form Responses 1'!E467</x:f>
        <x:v>0</x:v>
      </x:c>
      <x:c r="F467" s="18" t="n">
        <x:f>'Form Responses 1'!F467</x:f>
        <x:v>0</x:v>
      </x:c>
      <x:c r="G467" s="18" t="n">
        <x:f>'Form Responses 1'!G467</x:f>
        <x:v>0</x:v>
      </x:c>
      <x:c r="H467" s="18" t="str">
        <x:f>IF($C467="","",IFERROR(VLOOKUP($C467,Matches!$A$2:$Q$200,5,FALSE),"Unknown"))</x:f>
      </x:c>
      <x:c r="I467" s="60" t="str">
        <x:f>IF($C467="","",IFERROR(VLOOKUP($C467,Matches!$A$2:$Q$200,16,FALSE),""))</x:f>
      </x:c>
      <x:c r="J467" s="18" t="str">
        <x:f>IF($C467="","",IFERROR(VLOOKUP($C467,Matches!$A$2:$Q$200,11,FALSE),""))</x:f>
      </x:c>
      <x:c r="K467" s="18" t="str">
        <x:f>IF($C467="","",IFERROR(VLOOKUP($C467,Matches!$A$2:$Q$200,12,FALSE),""))</x:f>
      </x:c>
      <x:c r="L467" s="18" t="str">
        <x:f>IF($A467="","",IF($C467=1,"Yes",IF(OR($I467="",$A467&lt;$I467),"Yes","Late")))</x:f>
      </x:c>
      <x:c r="M467" s="66" t="str">
        <x:f>IF($A467="","",IF($L467&lt;&gt;"Yes",0,IF($E467="",0,IF($J467="",0,IF($H467="Group",IF($E467=$J467,Setup!$H$2,Setup!$H$3),IF($E467=$K467,Setup!$H$2,Setup!$H$3))))))</x:f>
      </x:c>
      <x:c r="N467" s="66" t="str">
        <x:f>IF($A467="","",IF($L467&lt;&gt;"Yes",0,IF(OR($F467="",$G467=""),0,IF(AND($F467=VLOOKUP($C467,Matches!$A$2:$Q$200,9,FALSE),$G467=VLOOKUP($C467,Matches!$A$2:$Q$200,10,FALSE)),Setup!$H$5,0))))</x:f>
      </x:c>
      <x:c r="O467" s="66" t="str">
        <x:f>IF($A467="","",$M467+$N467)</x:f>
      </x:c>
      <x:c r="P467" s="18" t="str">
        <x:f>IF($A467="","",IF($L467="Late","Late - 0 points",IF($J467="","Waiting for result",IF($O467&gt;0,"Scored",IF($O467&lt;0,"Wrong pick","No points")))))</x:f>
      </x:c>
    </x:row>
    <x:row r="468">
      <x:c r="A468" s="60" t="n">
        <x:f>'Form Responses 1'!A468</x:f>
        <x:v>0</x:v>
      </x:c>
      <x:c r="B468" s="18" t="n">
        <x:f>'Form Responses 1'!B468</x:f>
        <x:v>0</x:v>
      </x:c>
      <x:c r="C468" s="18" t="n">
        <x:f>'Form Responses 1'!C468</x:f>
        <x:v>0</x:v>
      </x:c>
      <x:c r="D468" s="18" t="n">
        <x:f>'Form Responses 1'!D468</x:f>
        <x:v>0</x:v>
      </x:c>
      <x:c r="E468" s="18" t="n">
        <x:f>'Form Responses 1'!E468</x:f>
        <x:v>0</x:v>
      </x:c>
      <x:c r="F468" s="18" t="n">
        <x:f>'Form Responses 1'!F468</x:f>
        <x:v>0</x:v>
      </x:c>
      <x:c r="G468" s="18" t="n">
        <x:f>'Form Responses 1'!G468</x:f>
        <x:v>0</x:v>
      </x:c>
      <x:c r="H468" s="18" t="str">
        <x:f>IF($C468="","",IFERROR(VLOOKUP($C468,Matches!$A$2:$Q$200,5,FALSE),"Unknown"))</x:f>
      </x:c>
      <x:c r="I468" s="60" t="str">
        <x:f>IF($C468="","",IFERROR(VLOOKUP($C468,Matches!$A$2:$Q$200,16,FALSE),""))</x:f>
      </x:c>
      <x:c r="J468" s="18" t="str">
        <x:f>IF($C468="","",IFERROR(VLOOKUP($C468,Matches!$A$2:$Q$200,11,FALSE),""))</x:f>
      </x:c>
      <x:c r="K468" s="18" t="str">
        <x:f>IF($C468="","",IFERROR(VLOOKUP($C468,Matches!$A$2:$Q$200,12,FALSE),""))</x:f>
      </x:c>
      <x:c r="L468" s="18" t="str">
        <x:f>IF($A468="","",IF($C468=1,"Yes",IF(OR($I468="",$A468&lt;$I468),"Yes","Late")))</x:f>
      </x:c>
      <x:c r="M468" s="66" t="str">
        <x:f>IF($A468="","",IF($L468&lt;&gt;"Yes",0,IF($E468="",0,IF($J468="",0,IF($H468="Group",IF($E468=$J468,Setup!$H$2,Setup!$H$3),IF($E468=$K468,Setup!$H$2,Setup!$H$3))))))</x:f>
      </x:c>
      <x:c r="N468" s="66" t="str">
        <x:f>IF($A468="","",IF($L468&lt;&gt;"Yes",0,IF(OR($F468="",$G468=""),0,IF(AND($F468=VLOOKUP($C468,Matches!$A$2:$Q$200,9,FALSE),$G468=VLOOKUP($C468,Matches!$A$2:$Q$200,10,FALSE)),Setup!$H$5,0))))</x:f>
      </x:c>
      <x:c r="O468" s="66" t="str">
        <x:f>IF($A468="","",$M468+$N468)</x:f>
      </x:c>
      <x:c r="P468" s="18" t="str">
        <x:f>IF($A468="","",IF($L468="Late","Late - 0 points",IF($J468="","Waiting for result",IF($O468&gt;0,"Scored",IF($O468&lt;0,"Wrong pick","No points")))))</x:f>
      </x:c>
    </x:row>
    <x:row r="469">
      <x:c r="A469" s="60" t="n">
        <x:f>'Form Responses 1'!A469</x:f>
        <x:v>0</x:v>
      </x:c>
      <x:c r="B469" s="18" t="n">
        <x:f>'Form Responses 1'!B469</x:f>
        <x:v>0</x:v>
      </x:c>
      <x:c r="C469" s="18" t="n">
        <x:f>'Form Responses 1'!C469</x:f>
        <x:v>0</x:v>
      </x:c>
      <x:c r="D469" s="18" t="n">
        <x:f>'Form Responses 1'!D469</x:f>
        <x:v>0</x:v>
      </x:c>
      <x:c r="E469" s="18" t="n">
        <x:f>'Form Responses 1'!E469</x:f>
        <x:v>0</x:v>
      </x:c>
      <x:c r="F469" s="18" t="n">
        <x:f>'Form Responses 1'!F469</x:f>
        <x:v>0</x:v>
      </x:c>
      <x:c r="G469" s="18" t="n">
        <x:f>'Form Responses 1'!G469</x:f>
        <x:v>0</x:v>
      </x:c>
      <x:c r="H469" s="18" t="str">
        <x:f>IF($C469="","",IFERROR(VLOOKUP($C469,Matches!$A$2:$Q$200,5,FALSE),"Unknown"))</x:f>
      </x:c>
      <x:c r="I469" s="60" t="str">
        <x:f>IF($C469="","",IFERROR(VLOOKUP($C469,Matches!$A$2:$Q$200,16,FALSE),""))</x:f>
      </x:c>
      <x:c r="J469" s="18" t="str">
        <x:f>IF($C469="","",IFERROR(VLOOKUP($C469,Matches!$A$2:$Q$200,11,FALSE),""))</x:f>
      </x:c>
      <x:c r="K469" s="18" t="str">
        <x:f>IF($C469="","",IFERROR(VLOOKUP($C469,Matches!$A$2:$Q$200,12,FALSE),""))</x:f>
      </x:c>
      <x:c r="L469" s="18" t="str">
        <x:f>IF($A469="","",IF($C469=1,"Yes",IF(OR($I469="",$A469&lt;$I469),"Yes","Late")))</x:f>
      </x:c>
      <x:c r="M469" s="66" t="str">
        <x:f>IF($A469="","",IF($L469&lt;&gt;"Yes",0,IF($E469="",0,IF($J469="",0,IF($H469="Group",IF($E469=$J469,Setup!$H$2,Setup!$H$3),IF($E469=$K469,Setup!$H$2,Setup!$H$3))))))</x:f>
      </x:c>
      <x:c r="N469" s="66" t="str">
        <x:f>IF($A469="","",IF($L469&lt;&gt;"Yes",0,IF(OR($F469="",$G469=""),0,IF(AND($F469=VLOOKUP($C469,Matches!$A$2:$Q$200,9,FALSE),$G469=VLOOKUP($C469,Matches!$A$2:$Q$200,10,FALSE)),Setup!$H$5,0))))</x:f>
      </x:c>
      <x:c r="O469" s="66" t="str">
        <x:f>IF($A469="","",$M469+$N469)</x:f>
      </x:c>
      <x:c r="P469" s="18" t="str">
        <x:f>IF($A469="","",IF($L469="Late","Late - 0 points",IF($J469="","Waiting for result",IF($O469&gt;0,"Scored",IF($O469&lt;0,"Wrong pick","No points")))))</x:f>
      </x:c>
    </x:row>
    <x:row r="470">
      <x:c r="A470" s="60" t="n">
        <x:f>'Form Responses 1'!A470</x:f>
        <x:v>0</x:v>
      </x:c>
      <x:c r="B470" s="18" t="n">
        <x:f>'Form Responses 1'!B470</x:f>
        <x:v>0</x:v>
      </x:c>
      <x:c r="C470" s="18" t="n">
        <x:f>'Form Responses 1'!C470</x:f>
        <x:v>0</x:v>
      </x:c>
      <x:c r="D470" s="18" t="n">
        <x:f>'Form Responses 1'!D470</x:f>
        <x:v>0</x:v>
      </x:c>
      <x:c r="E470" s="18" t="n">
        <x:f>'Form Responses 1'!E470</x:f>
        <x:v>0</x:v>
      </x:c>
      <x:c r="F470" s="18" t="n">
        <x:f>'Form Responses 1'!F470</x:f>
        <x:v>0</x:v>
      </x:c>
      <x:c r="G470" s="18" t="n">
        <x:f>'Form Responses 1'!G470</x:f>
        <x:v>0</x:v>
      </x:c>
      <x:c r="H470" s="18" t="str">
        <x:f>IF($C470="","",IFERROR(VLOOKUP($C470,Matches!$A$2:$Q$200,5,FALSE),"Unknown"))</x:f>
      </x:c>
      <x:c r="I470" s="60" t="str">
        <x:f>IF($C470="","",IFERROR(VLOOKUP($C470,Matches!$A$2:$Q$200,16,FALSE),""))</x:f>
      </x:c>
      <x:c r="J470" s="18" t="str">
        <x:f>IF($C470="","",IFERROR(VLOOKUP($C470,Matches!$A$2:$Q$200,11,FALSE),""))</x:f>
      </x:c>
      <x:c r="K470" s="18" t="str">
        <x:f>IF($C470="","",IFERROR(VLOOKUP($C470,Matches!$A$2:$Q$200,12,FALSE),""))</x:f>
      </x:c>
      <x:c r="L470" s="18" t="str">
        <x:f>IF($A470="","",IF($C470=1,"Yes",IF(OR($I470="",$A470&lt;$I470),"Yes","Late")))</x:f>
      </x:c>
      <x:c r="M470" s="66" t="str">
        <x:f>IF($A470="","",IF($L470&lt;&gt;"Yes",0,IF($E470="",0,IF($J470="",0,IF($H470="Group",IF($E470=$J470,Setup!$H$2,Setup!$H$3),IF($E470=$K470,Setup!$H$2,Setup!$H$3))))))</x:f>
      </x:c>
      <x:c r="N470" s="66" t="str">
        <x:f>IF($A470="","",IF($L470&lt;&gt;"Yes",0,IF(OR($F470="",$G470=""),0,IF(AND($F470=VLOOKUP($C470,Matches!$A$2:$Q$200,9,FALSE),$G470=VLOOKUP($C470,Matches!$A$2:$Q$200,10,FALSE)),Setup!$H$5,0))))</x:f>
      </x:c>
      <x:c r="O470" s="66" t="str">
        <x:f>IF($A470="","",$M470+$N470)</x:f>
      </x:c>
      <x:c r="P470" s="18" t="str">
        <x:f>IF($A470="","",IF($L470="Late","Late - 0 points",IF($J470="","Waiting for result",IF($O470&gt;0,"Scored",IF($O470&lt;0,"Wrong pick","No points")))))</x:f>
      </x:c>
    </x:row>
    <x:row r="471">
      <x:c r="A471" s="60" t="n">
        <x:f>'Form Responses 1'!A471</x:f>
        <x:v>0</x:v>
      </x:c>
      <x:c r="B471" s="18" t="n">
        <x:f>'Form Responses 1'!B471</x:f>
        <x:v>0</x:v>
      </x:c>
      <x:c r="C471" s="18" t="n">
        <x:f>'Form Responses 1'!C471</x:f>
        <x:v>0</x:v>
      </x:c>
      <x:c r="D471" s="18" t="n">
        <x:f>'Form Responses 1'!D471</x:f>
        <x:v>0</x:v>
      </x:c>
      <x:c r="E471" s="18" t="n">
        <x:f>'Form Responses 1'!E471</x:f>
        <x:v>0</x:v>
      </x:c>
      <x:c r="F471" s="18" t="n">
        <x:f>'Form Responses 1'!F471</x:f>
        <x:v>0</x:v>
      </x:c>
      <x:c r="G471" s="18" t="n">
        <x:f>'Form Responses 1'!G471</x:f>
        <x:v>0</x:v>
      </x:c>
      <x:c r="H471" s="18" t="str">
        <x:f>IF($C471="","",IFERROR(VLOOKUP($C471,Matches!$A$2:$Q$200,5,FALSE),"Unknown"))</x:f>
      </x:c>
      <x:c r="I471" s="60" t="str">
        <x:f>IF($C471="","",IFERROR(VLOOKUP($C471,Matches!$A$2:$Q$200,16,FALSE),""))</x:f>
      </x:c>
      <x:c r="J471" s="18" t="str">
        <x:f>IF($C471="","",IFERROR(VLOOKUP($C471,Matches!$A$2:$Q$200,11,FALSE),""))</x:f>
      </x:c>
      <x:c r="K471" s="18" t="str">
        <x:f>IF($C471="","",IFERROR(VLOOKUP($C471,Matches!$A$2:$Q$200,12,FALSE),""))</x:f>
      </x:c>
      <x:c r="L471" s="18" t="str">
        <x:f>IF($A471="","",IF($C471=1,"Yes",IF(OR($I471="",$A471&lt;$I471),"Yes","Late")))</x:f>
      </x:c>
      <x:c r="M471" s="66" t="str">
        <x:f>IF($A471="","",IF($L471&lt;&gt;"Yes",0,IF($E471="",0,IF($J471="",0,IF($H471="Group",IF($E471=$J471,Setup!$H$2,Setup!$H$3),IF($E471=$K471,Setup!$H$2,Setup!$H$3))))))</x:f>
      </x:c>
      <x:c r="N471" s="66" t="str">
        <x:f>IF($A471="","",IF($L471&lt;&gt;"Yes",0,IF(OR($F471="",$G471=""),0,IF(AND($F471=VLOOKUP($C471,Matches!$A$2:$Q$200,9,FALSE),$G471=VLOOKUP($C471,Matches!$A$2:$Q$200,10,FALSE)),Setup!$H$5,0))))</x:f>
      </x:c>
      <x:c r="O471" s="66" t="str">
        <x:f>IF($A471="","",$M471+$N471)</x:f>
      </x:c>
      <x:c r="P471" s="18" t="str">
        <x:f>IF($A471="","",IF($L471="Late","Late - 0 points",IF($J471="","Waiting for result",IF($O471&gt;0,"Scored",IF($O471&lt;0,"Wrong pick","No points")))))</x:f>
      </x:c>
    </x:row>
    <x:row r="472">
      <x:c r="A472" s="60" t="n">
        <x:f>'Form Responses 1'!A472</x:f>
        <x:v>0</x:v>
      </x:c>
      <x:c r="B472" s="18" t="n">
        <x:f>'Form Responses 1'!B472</x:f>
        <x:v>0</x:v>
      </x:c>
      <x:c r="C472" s="18" t="n">
        <x:f>'Form Responses 1'!C472</x:f>
        <x:v>0</x:v>
      </x:c>
      <x:c r="D472" s="18" t="n">
        <x:f>'Form Responses 1'!D472</x:f>
        <x:v>0</x:v>
      </x:c>
      <x:c r="E472" s="18" t="n">
        <x:f>'Form Responses 1'!E472</x:f>
        <x:v>0</x:v>
      </x:c>
      <x:c r="F472" s="18" t="n">
        <x:f>'Form Responses 1'!F472</x:f>
        <x:v>0</x:v>
      </x:c>
      <x:c r="G472" s="18" t="n">
        <x:f>'Form Responses 1'!G472</x:f>
        <x:v>0</x:v>
      </x:c>
      <x:c r="H472" s="18" t="str">
        <x:f>IF($C472="","",IFERROR(VLOOKUP($C472,Matches!$A$2:$Q$200,5,FALSE),"Unknown"))</x:f>
      </x:c>
      <x:c r="I472" s="60" t="str">
        <x:f>IF($C472="","",IFERROR(VLOOKUP($C472,Matches!$A$2:$Q$200,16,FALSE),""))</x:f>
      </x:c>
      <x:c r="J472" s="18" t="str">
        <x:f>IF($C472="","",IFERROR(VLOOKUP($C472,Matches!$A$2:$Q$200,11,FALSE),""))</x:f>
      </x:c>
      <x:c r="K472" s="18" t="str">
        <x:f>IF($C472="","",IFERROR(VLOOKUP($C472,Matches!$A$2:$Q$200,12,FALSE),""))</x:f>
      </x:c>
      <x:c r="L472" s="18" t="str">
        <x:f>IF($A472="","",IF($C472=1,"Yes",IF(OR($I472="",$A472&lt;$I472),"Yes","Late")))</x:f>
      </x:c>
      <x:c r="M472" s="66" t="str">
        <x:f>IF($A472="","",IF($L472&lt;&gt;"Yes",0,IF($E472="",0,IF($J472="",0,IF($H472="Group",IF($E472=$J472,Setup!$H$2,Setup!$H$3),IF($E472=$K472,Setup!$H$2,Setup!$H$3))))))</x:f>
      </x:c>
      <x:c r="N472" s="66" t="str">
        <x:f>IF($A472="","",IF($L472&lt;&gt;"Yes",0,IF(OR($F472="",$G472=""),0,IF(AND($F472=VLOOKUP($C472,Matches!$A$2:$Q$200,9,FALSE),$G472=VLOOKUP($C472,Matches!$A$2:$Q$200,10,FALSE)),Setup!$H$5,0))))</x:f>
      </x:c>
      <x:c r="O472" s="66" t="str">
        <x:f>IF($A472="","",$M472+$N472)</x:f>
      </x:c>
      <x:c r="P472" s="18" t="str">
        <x:f>IF($A472="","",IF($L472="Late","Late - 0 points",IF($J472="","Waiting for result",IF($O472&gt;0,"Scored",IF($O472&lt;0,"Wrong pick","No points")))))</x:f>
      </x:c>
    </x:row>
    <x:row r="473">
      <x:c r="A473" s="60" t="n">
        <x:f>'Form Responses 1'!A473</x:f>
        <x:v>0</x:v>
      </x:c>
      <x:c r="B473" s="18" t="n">
        <x:f>'Form Responses 1'!B473</x:f>
        <x:v>0</x:v>
      </x:c>
      <x:c r="C473" s="18" t="n">
        <x:f>'Form Responses 1'!C473</x:f>
        <x:v>0</x:v>
      </x:c>
      <x:c r="D473" s="18" t="n">
        <x:f>'Form Responses 1'!D473</x:f>
        <x:v>0</x:v>
      </x:c>
      <x:c r="E473" s="18" t="n">
        <x:f>'Form Responses 1'!E473</x:f>
        <x:v>0</x:v>
      </x:c>
      <x:c r="F473" s="18" t="n">
        <x:f>'Form Responses 1'!F473</x:f>
        <x:v>0</x:v>
      </x:c>
      <x:c r="G473" s="18" t="n">
        <x:f>'Form Responses 1'!G473</x:f>
        <x:v>0</x:v>
      </x:c>
      <x:c r="H473" s="18" t="str">
        <x:f>IF($C473="","",IFERROR(VLOOKUP($C473,Matches!$A$2:$Q$200,5,FALSE),"Unknown"))</x:f>
      </x:c>
      <x:c r="I473" s="60" t="str">
        <x:f>IF($C473="","",IFERROR(VLOOKUP($C473,Matches!$A$2:$Q$200,16,FALSE),""))</x:f>
      </x:c>
      <x:c r="J473" s="18" t="str">
        <x:f>IF($C473="","",IFERROR(VLOOKUP($C473,Matches!$A$2:$Q$200,11,FALSE),""))</x:f>
      </x:c>
      <x:c r="K473" s="18" t="str">
        <x:f>IF($C473="","",IFERROR(VLOOKUP($C473,Matches!$A$2:$Q$200,12,FALSE),""))</x:f>
      </x:c>
      <x:c r="L473" s="18" t="str">
        <x:f>IF($A473="","",IF($C473=1,"Yes",IF(OR($I473="",$A473&lt;$I473),"Yes","Late")))</x:f>
      </x:c>
      <x:c r="M473" s="66" t="str">
        <x:f>IF($A473="","",IF($L473&lt;&gt;"Yes",0,IF($E473="",0,IF($J473="",0,IF($H473="Group",IF($E473=$J473,Setup!$H$2,Setup!$H$3),IF($E473=$K473,Setup!$H$2,Setup!$H$3))))))</x:f>
      </x:c>
      <x:c r="N473" s="66" t="str">
        <x:f>IF($A473="","",IF($L473&lt;&gt;"Yes",0,IF(OR($F473="",$G473=""),0,IF(AND($F473=VLOOKUP($C473,Matches!$A$2:$Q$200,9,FALSE),$G473=VLOOKUP($C473,Matches!$A$2:$Q$200,10,FALSE)),Setup!$H$5,0))))</x:f>
      </x:c>
      <x:c r="O473" s="66" t="str">
        <x:f>IF($A473="","",$M473+$N473)</x:f>
      </x:c>
      <x:c r="P473" s="18" t="str">
        <x:f>IF($A473="","",IF($L473="Late","Late - 0 points",IF($J473="","Waiting for result",IF($O473&gt;0,"Scored",IF($O473&lt;0,"Wrong pick","No points")))))</x:f>
      </x:c>
    </x:row>
    <x:row r="474">
      <x:c r="A474" s="60" t="n">
        <x:f>'Form Responses 1'!A474</x:f>
        <x:v>0</x:v>
      </x:c>
      <x:c r="B474" s="18" t="n">
        <x:f>'Form Responses 1'!B474</x:f>
        <x:v>0</x:v>
      </x:c>
      <x:c r="C474" s="18" t="n">
        <x:f>'Form Responses 1'!C474</x:f>
        <x:v>0</x:v>
      </x:c>
      <x:c r="D474" s="18" t="n">
        <x:f>'Form Responses 1'!D474</x:f>
        <x:v>0</x:v>
      </x:c>
      <x:c r="E474" s="18" t="n">
        <x:f>'Form Responses 1'!E474</x:f>
        <x:v>0</x:v>
      </x:c>
      <x:c r="F474" s="18" t="n">
        <x:f>'Form Responses 1'!F474</x:f>
        <x:v>0</x:v>
      </x:c>
      <x:c r="G474" s="18" t="n">
        <x:f>'Form Responses 1'!G474</x:f>
        <x:v>0</x:v>
      </x:c>
      <x:c r="H474" s="18" t="str">
        <x:f>IF($C474="","",IFERROR(VLOOKUP($C474,Matches!$A$2:$Q$200,5,FALSE),"Unknown"))</x:f>
      </x:c>
      <x:c r="I474" s="60" t="str">
        <x:f>IF($C474="","",IFERROR(VLOOKUP($C474,Matches!$A$2:$Q$200,16,FALSE),""))</x:f>
      </x:c>
      <x:c r="J474" s="18" t="str">
        <x:f>IF($C474="","",IFERROR(VLOOKUP($C474,Matches!$A$2:$Q$200,11,FALSE),""))</x:f>
      </x:c>
      <x:c r="K474" s="18" t="str">
        <x:f>IF($C474="","",IFERROR(VLOOKUP($C474,Matches!$A$2:$Q$200,12,FALSE),""))</x:f>
      </x:c>
      <x:c r="L474" s="18" t="str">
        <x:f>IF($A474="","",IF($C474=1,"Yes",IF(OR($I474="",$A474&lt;$I474),"Yes","Late")))</x:f>
      </x:c>
      <x:c r="M474" s="66" t="str">
        <x:f>IF($A474="","",IF($L474&lt;&gt;"Yes",0,IF($E474="",0,IF($J474="",0,IF($H474="Group",IF($E474=$J474,Setup!$H$2,Setup!$H$3),IF($E474=$K474,Setup!$H$2,Setup!$H$3))))))</x:f>
      </x:c>
      <x:c r="N474" s="66" t="str">
        <x:f>IF($A474="","",IF($L474&lt;&gt;"Yes",0,IF(OR($F474="",$G474=""),0,IF(AND($F474=VLOOKUP($C474,Matches!$A$2:$Q$200,9,FALSE),$G474=VLOOKUP($C474,Matches!$A$2:$Q$200,10,FALSE)),Setup!$H$5,0))))</x:f>
      </x:c>
      <x:c r="O474" s="66" t="str">
        <x:f>IF($A474="","",$M474+$N474)</x:f>
      </x:c>
      <x:c r="P474" s="18" t="str">
        <x:f>IF($A474="","",IF($L474="Late","Late - 0 points",IF($J474="","Waiting for result",IF($O474&gt;0,"Scored",IF($O474&lt;0,"Wrong pick","No points")))))</x:f>
      </x:c>
    </x:row>
    <x:row r="475">
      <x:c r="A475" s="60" t="n">
        <x:f>'Form Responses 1'!A475</x:f>
        <x:v>0</x:v>
      </x:c>
      <x:c r="B475" s="18" t="n">
        <x:f>'Form Responses 1'!B475</x:f>
        <x:v>0</x:v>
      </x:c>
      <x:c r="C475" s="18" t="n">
        <x:f>'Form Responses 1'!C475</x:f>
        <x:v>0</x:v>
      </x:c>
      <x:c r="D475" s="18" t="n">
        <x:f>'Form Responses 1'!D475</x:f>
        <x:v>0</x:v>
      </x:c>
      <x:c r="E475" s="18" t="n">
        <x:f>'Form Responses 1'!E475</x:f>
        <x:v>0</x:v>
      </x:c>
      <x:c r="F475" s="18" t="n">
        <x:f>'Form Responses 1'!F475</x:f>
        <x:v>0</x:v>
      </x:c>
      <x:c r="G475" s="18" t="n">
        <x:f>'Form Responses 1'!G475</x:f>
        <x:v>0</x:v>
      </x:c>
      <x:c r="H475" s="18" t="str">
        <x:f>IF($C475="","",IFERROR(VLOOKUP($C475,Matches!$A$2:$Q$200,5,FALSE),"Unknown"))</x:f>
      </x:c>
      <x:c r="I475" s="60" t="str">
        <x:f>IF($C475="","",IFERROR(VLOOKUP($C475,Matches!$A$2:$Q$200,16,FALSE),""))</x:f>
      </x:c>
      <x:c r="J475" s="18" t="str">
        <x:f>IF($C475="","",IFERROR(VLOOKUP($C475,Matches!$A$2:$Q$200,11,FALSE),""))</x:f>
      </x:c>
      <x:c r="K475" s="18" t="str">
        <x:f>IF($C475="","",IFERROR(VLOOKUP($C475,Matches!$A$2:$Q$200,12,FALSE),""))</x:f>
      </x:c>
      <x:c r="L475" s="18" t="str">
        <x:f>IF($A475="","",IF($C475=1,"Yes",IF(OR($I475="",$A475&lt;$I475),"Yes","Late")))</x:f>
      </x:c>
      <x:c r="M475" s="66" t="str">
        <x:f>IF($A475="","",IF($L475&lt;&gt;"Yes",0,IF($E475="",0,IF($J475="",0,IF($H475="Group",IF($E475=$J475,Setup!$H$2,Setup!$H$3),IF($E475=$K475,Setup!$H$2,Setup!$H$3))))))</x:f>
      </x:c>
      <x:c r="N475" s="66" t="str">
        <x:f>IF($A475="","",IF($L475&lt;&gt;"Yes",0,IF(OR($F475="",$G475=""),0,IF(AND($F475=VLOOKUP($C475,Matches!$A$2:$Q$200,9,FALSE),$G475=VLOOKUP($C475,Matches!$A$2:$Q$200,10,FALSE)),Setup!$H$5,0))))</x:f>
      </x:c>
      <x:c r="O475" s="66" t="str">
        <x:f>IF($A475="","",$M475+$N475)</x:f>
      </x:c>
      <x:c r="P475" s="18" t="str">
        <x:f>IF($A475="","",IF($L475="Late","Late - 0 points",IF($J475="","Waiting for result",IF($O475&gt;0,"Scored",IF($O475&lt;0,"Wrong pick","No points")))))</x:f>
      </x:c>
    </x:row>
    <x:row r="476">
      <x:c r="A476" s="60" t="n">
        <x:f>'Form Responses 1'!A476</x:f>
        <x:v>0</x:v>
      </x:c>
      <x:c r="B476" s="18" t="n">
        <x:f>'Form Responses 1'!B476</x:f>
        <x:v>0</x:v>
      </x:c>
      <x:c r="C476" s="18" t="n">
        <x:f>'Form Responses 1'!C476</x:f>
        <x:v>0</x:v>
      </x:c>
      <x:c r="D476" s="18" t="n">
        <x:f>'Form Responses 1'!D476</x:f>
        <x:v>0</x:v>
      </x:c>
      <x:c r="E476" s="18" t="n">
        <x:f>'Form Responses 1'!E476</x:f>
        <x:v>0</x:v>
      </x:c>
      <x:c r="F476" s="18" t="n">
        <x:f>'Form Responses 1'!F476</x:f>
        <x:v>0</x:v>
      </x:c>
      <x:c r="G476" s="18" t="n">
        <x:f>'Form Responses 1'!G476</x:f>
        <x:v>0</x:v>
      </x:c>
      <x:c r="H476" s="18" t="str">
        <x:f>IF($C476="","",IFERROR(VLOOKUP($C476,Matches!$A$2:$Q$200,5,FALSE),"Unknown"))</x:f>
      </x:c>
      <x:c r="I476" s="60" t="str">
        <x:f>IF($C476="","",IFERROR(VLOOKUP($C476,Matches!$A$2:$Q$200,16,FALSE),""))</x:f>
      </x:c>
      <x:c r="J476" s="18" t="str">
        <x:f>IF($C476="","",IFERROR(VLOOKUP($C476,Matches!$A$2:$Q$200,11,FALSE),""))</x:f>
      </x:c>
      <x:c r="K476" s="18" t="str">
        <x:f>IF($C476="","",IFERROR(VLOOKUP($C476,Matches!$A$2:$Q$200,12,FALSE),""))</x:f>
      </x:c>
      <x:c r="L476" s="18" t="str">
        <x:f>IF($A476="","",IF($C476=1,"Yes",IF(OR($I476="",$A476&lt;$I476),"Yes","Late")))</x:f>
      </x:c>
      <x:c r="M476" s="66" t="str">
        <x:f>IF($A476="","",IF($L476&lt;&gt;"Yes",0,IF($E476="",0,IF($J476="",0,IF($H476="Group",IF($E476=$J476,Setup!$H$2,Setup!$H$3),IF($E476=$K476,Setup!$H$2,Setup!$H$3))))))</x:f>
      </x:c>
      <x:c r="N476" s="66" t="str">
        <x:f>IF($A476="","",IF($L476&lt;&gt;"Yes",0,IF(OR($F476="",$G476=""),0,IF(AND($F476=VLOOKUP($C476,Matches!$A$2:$Q$200,9,FALSE),$G476=VLOOKUP($C476,Matches!$A$2:$Q$200,10,FALSE)),Setup!$H$5,0))))</x:f>
      </x:c>
      <x:c r="O476" s="66" t="str">
        <x:f>IF($A476="","",$M476+$N476)</x:f>
      </x:c>
      <x:c r="P476" s="18" t="str">
        <x:f>IF($A476="","",IF($L476="Late","Late - 0 points",IF($J476="","Waiting for result",IF($O476&gt;0,"Scored",IF($O476&lt;0,"Wrong pick","No points")))))</x:f>
      </x:c>
    </x:row>
    <x:row r="477">
      <x:c r="A477" s="60" t="n">
        <x:f>'Form Responses 1'!A477</x:f>
        <x:v>0</x:v>
      </x:c>
      <x:c r="B477" s="18" t="n">
        <x:f>'Form Responses 1'!B477</x:f>
        <x:v>0</x:v>
      </x:c>
      <x:c r="C477" s="18" t="n">
        <x:f>'Form Responses 1'!C477</x:f>
        <x:v>0</x:v>
      </x:c>
      <x:c r="D477" s="18" t="n">
        <x:f>'Form Responses 1'!D477</x:f>
        <x:v>0</x:v>
      </x:c>
      <x:c r="E477" s="18" t="n">
        <x:f>'Form Responses 1'!E477</x:f>
        <x:v>0</x:v>
      </x:c>
      <x:c r="F477" s="18" t="n">
        <x:f>'Form Responses 1'!F477</x:f>
        <x:v>0</x:v>
      </x:c>
      <x:c r="G477" s="18" t="n">
        <x:f>'Form Responses 1'!G477</x:f>
        <x:v>0</x:v>
      </x:c>
      <x:c r="H477" s="18" t="str">
        <x:f>IF($C477="","",IFERROR(VLOOKUP($C477,Matches!$A$2:$Q$200,5,FALSE),"Unknown"))</x:f>
      </x:c>
      <x:c r="I477" s="60" t="str">
        <x:f>IF($C477="","",IFERROR(VLOOKUP($C477,Matches!$A$2:$Q$200,16,FALSE),""))</x:f>
      </x:c>
      <x:c r="J477" s="18" t="str">
        <x:f>IF($C477="","",IFERROR(VLOOKUP($C477,Matches!$A$2:$Q$200,11,FALSE),""))</x:f>
      </x:c>
      <x:c r="K477" s="18" t="str">
        <x:f>IF($C477="","",IFERROR(VLOOKUP($C477,Matches!$A$2:$Q$200,12,FALSE),""))</x:f>
      </x:c>
      <x:c r="L477" s="18" t="str">
        <x:f>IF($A477="","",IF($C477=1,"Yes",IF(OR($I477="",$A477&lt;$I477),"Yes","Late")))</x:f>
      </x:c>
      <x:c r="M477" s="66" t="str">
        <x:f>IF($A477="","",IF($L477&lt;&gt;"Yes",0,IF($E477="",0,IF($J477="",0,IF($H477="Group",IF($E477=$J477,Setup!$H$2,Setup!$H$3),IF($E477=$K477,Setup!$H$2,Setup!$H$3))))))</x:f>
      </x:c>
      <x:c r="N477" s="66" t="str">
        <x:f>IF($A477="","",IF($L477&lt;&gt;"Yes",0,IF(OR($F477="",$G477=""),0,IF(AND($F477=VLOOKUP($C477,Matches!$A$2:$Q$200,9,FALSE),$G477=VLOOKUP($C477,Matches!$A$2:$Q$200,10,FALSE)),Setup!$H$5,0))))</x:f>
      </x:c>
      <x:c r="O477" s="66" t="str">
        <x:f>IF($A477="","",$M477+$N477)</x:f>
      </x:c>
      <x:c r="P477" s="18" t="str">
        <x:f>IF($A477="","",IF($L477="Late","Late - 0 points",IF($J477="","Waiting for result",IF($O477&gt;0,"Scored",IF($O477&lt;0,"Wrong pick","No points")))))</x:f>
      </x:c>
    </x:row>
    <x:row r="478">
      <x:c r="A478" s="60" t="n">
        <x:f>'Form Responses 1'!A478</x:f>
        <x:v>0</x:v>
      </x:c>
      <x:c r="B478" s="18" t="n">
        <x:f>'Form Responses 1'!B478</x:f>
        <x:v>0</x:v>
      </x:c>
      <x:c r="C478" s="18" t="n">
        <x:f>'Form Responses 1'!C478</x:f>
        <x:v>0</x:v>
      </x:c>
      <x:c r="D478" s="18" t="n">
        <x:f>'Form Responses 1'!D478</x:f>
        <x:v>0</x:v>
      </x:c>
      <x:c r="E478" s="18" t="n">
        <x:f>'Form Responses 1'!E478</x:f>
        <x:v>0</x:v>
      </x:c>
      <x:c r="F478" s="18" t="n">
        <x:f>'Form Responses 1'!F478</x:f>
        <x:v>0</x:v>
      </x:c>
      <x:c r="G478" s="18" t="n">
        <x:f>'Form Responses 1'!G478</x:f>
        <x:v>0</x:v>
      </x:c>
      <x:c r="H478" s="18" t="str">
        <x:f>IF($C478="","",IFERROR(VLOOKUP($C478,Matches!$A$2:$Q$200,5,FALSE),"Unknown"))</x:f>
      </x:c>
      <x:c r="I478" s="60" t="str">
        <x:f>IF($C478="","",IFERROR(VLOOKUP($C478,Matches!$A$2:$Q$200,16,FALSE),""))</x:f>
      </x:c>
      <x:c r="J478" s="18" t="str">
        <x:f>IF($C478="","",IFERROR(VLOOKUP($C478,Matches!$A$2:$Q$200,11,FALSE),""))</x:f>
      </x:c>
      <x:c r="K478" s="18" t="str">
        <x:f>IF($C478="","",IFERROR(VLOOKUP($C478,Matches!$A$2:$Q$200,12,FALSE),""))</x:f>
      </x:c>
      <x:c r="L478" s="18" t="str">
        <x:f>IF($A478="","",IF($C478=1,"Yes",IF(OR($I478="",$A478&lt;$I478),"Yes","Late")))</x:f>
      </x:c>
      <x:c r="M478" s="66" t="str">
        <x:f>IF($A478="","",IF($L478&lt;&gt;"Yes",0,IF($E478="",0,IF($J478="",0,IF($H478="Group",IF($E478=$J478,Setup!$H$2,Setup!$H$3),IF($E478=$K478,Setup!$H$2,Setup!$H$3))))))</x:f>
      </x:c>
      <x:c r="N478" s="66" t="str">
        <x:f>IF($A478="","",IF($L478&lt;&gt;"Yes",0,IF(OR($F478="",$G478=""),0,IF(AND($F478=VLOOKUP($C478,Matches!$A$2:$Q$200,9,FALSE),$G478=VLOOKUP($C478,Matches!$A$2:$Q$200,10,FALSE)),Setup!$H$5,0))))</x:f>
      </x:c>
      <x:c r="O478" s="66" t="str">
        <x:f>IF($A478="","",$M478+$N478)</x:f>
      </x:c>
      <x:c r="P478" s="18" t="str">
        <x:f>IF($A478="","",IF($L478="Late","Late - 0 points",IF($J478="","Waiting for result",IF($O478&gt;0,"Scored",IF($O478&lt;0,"Wrong pick","No points")))))</x:f>
      </x:c>
    </x:row>
    <x:row r="479">
      <x:c r="A479" s="60" t="n">
        <x:f>'Form Responses 1'!A479</x:f>
        <x:v>0</x:v>
      </x:c>
      <x:c r="B479" s="18" t="n">
        <x:f>'Form Responses 1'!B479</x:f>
        <x:v>0</x:v>
      </x:c>
      <x:c r="C479" s="18" t="n">
        <x:f>'Form Responses 1'!C479</x:f>
        <x:v>0</x:v>
      </x:c>
      <x:c r="D479" s="18" t="n">
        <x:f>'Form Responses 1'!D479</x:f>
        <x:v>0</x:v>
      </x:c>
      <x:c r="E479" s="18" t="n">
        <x:f>'Form Responses 1'!E479</x:f>
        <x:v>0</x:v>
      </x:c>
      <x:c r="F479" s="18" t="n">
        <x:f>'Form Responses 1'!F479</x:f>
        <x:v>0</x:v>
      </x:c>
      <x:c r="G479" s="18" t="n">
        <x:f>'Form Responses 1'!G479</x:f>
        <x:v>0</x:v>
      </x:c>
      <x:c r="H479" s="18" t="str">
        <x:f>IF($C479="","",IFERROR(VLOOKUP($C479,Matches!$A$2:$Q$200,5,FALSE),"Unknown"))</x:f>
      </x:c>
      <x:c r="I479" s="60" t="str">
        <x:f>IF($C479="","",IFERROR(VLOOKUP($C479,Matches!$A$2:$Q$200,16,FALSE),""))</x:f>
      </x:c>
      <x:c r="J479" s="18" t="str">
        <x:f>IF($C479="","",IFERROR(VLOOKUP($C479,Matches!$A$2:$Q$200,11,FALSE),""))</x:f>
      </x:c>
      <x:c r="K479" s="18" t="str">
        <x:f>IF($C479="","",IFERROR(VLOOKUP($C479,Matches!$A$2:$Q$200,12,FALSE),""))</x:f>
      </x:c>
      <x:c r="L479" s="18" t="str">
        <x:f>IF($A479="","",IF($C479=1,"Yes",IF(OR($I479="",$A479&lt;$I479),"Yes","Late")))</x:f>
      </x:c>
      <x:c r="M479" s="66" t="str">
        <x:f>IF($A479="","",IF($L479&lt;&gt;"Yes",0,IF($E479="",0,IF($J479="",0,IF($H479="Group",IF($E479=$J479,Setup!$H$2,Setup!$H$3),IF($E479=$K479,Setup!$H$2,Setup!$H$3))))))</x:f>
      </x:c>
      <x:c r="N479" s="66" t="str">
        <x:f>IF($A479="","",IF($L479&lt;&gt;"Yes",0,IF(OR($F479="",$G479=""),0,IF(AND($F479=VLOOKUP($C479,Matches!$A$2:$Q$200,9,FALSE),$G479=VLOOKUP($C479,Matches!$A$2:$Q$200,10,FALSE)),Setup!$H$5,0))))</x:f>
      </x:c>
      <x:c r="O479" s="66" t="str">
        <x:f>IF($A479="","",$M479+$N479)</x:f>
      </x:c>
      <x:c r="P479" s="18" t="str">
        <x:f>IF($A479="","",IF($L479="Late","Late - 0 points",IF($J479="","Waiting for result",IF($O479&gt;0,"Scored",IF($O479&lt;0,"Wrong pick","No points")))))</x:f>
      </x:c>
    </x:row>
    <x:row r="480">
      <x:c r="A480" s="60" t="n">
        <x:f>'Form Responses 1'!A480</x:f>
        <x:v>0</x:v>
      </x:c>
      <x:c r="B480" s="18" t="n">
        <x:f>'Form Responses 1'!B480</x:f>
        <x:v>0</x:v>
      </x:c>
      <x:c r="C480" s="18" t="n">
        <x:f>'Form Responses 1'!C480</x:f>
        <x:v>0</x:v>
      </x:c>
      <x:c r="D480" s="18" t="n">
        <x:f>'Form Responses 1'!D480</x:f>
        <x:v>0</x:v>
      </x:c>
      <x:c r="E480" s="18" t="n">
        <x:f>'Form Responses 1'!E480</x:f>
        <x:v>0</x:v>
      </x:c>
      <x:c r="F480" s="18" t="n">
        <x:f>'Form Responses 1'!F480</x:f>
        <x:v>0</x:v>
      </x:c>
      <x:c r="G480" s="18" t="n">
        <x:f>'Form Responses 1'!G480</x:f>
        <x:v>0</x:v>
      </x:c>
      <x:c r="H480" s="18" t="str">
        <x:f>IF($C480="","",IFERROR(VLOOKUP($C480,Matches!$A$2:$Q$200,5,FALSE),"Unknown"))</x:f>
      </x:c>
      <x:c r="I480" s="60" t="str">
        <x:f>IF($C480="","",IFERROR(VLOOKUP($C480,Matches!$A$2:$Q$200,16,FALSE),""))</x:f>
      </x:c>
      <x:c r="J480" s="18" t="str">
        <x:f>IF($C480="","",IFERROR(VLOOKUP($C480,Matches!$A$2:$Q$200,11,FALSE),""))</x:f>
      </x:c>
      <x:c r="K480" s="18" t="str">
        <x:f>IF($C480="","",IFERROR(VLOOKUP($C480,Matches!$A$2:$Q$200,12,FALSE),""))</x:f>
      </x:c>
      <x:c r="L480" s="18" t="str">
        <x:f>IF($A480="","",IF($C480=1,"Yes",IF(OR($I480="",$A480&lt;$I480),"Yes","Late")))</x:f>
      </x:c>
      <x:c r="M480" s="66" t="str">
        <x:f>IF($A480="","",IF($L480&lt;&gt;"Yes",0,IF($E480="",0,IF($J480="",0,IF($H480="Group",IF($E480=$J480,Setup!$H$2,Setup!$H$3),IF($E480=$K480,Setup!$H$2,Setup!$H$3))))))</x:f>
      </x:c>
      <x:c r="N480" s="66" t="str">
        <x:f>IF($A480="","",IF($L480&lt;&gt;"Yes",0,IF(OR($F480="",$G480=""),0,IF(AND($F480=VLOOKUP($C480,Matches!$A$2:$Q$200,9,FALSE),$G480=VLOOKUP($C480,Matches!$A$2:$Q$200,10,FALSE)),Setup!$H$5,0))))</x:f>
      </x:c>
      <x:c r="O480" s="66" t="str">
        <x:f>IF($A480="","",$M480+$N480)</x:f>
      </x:c>
      <x:c r="P480" s="18" t="str">
        <x:f>IF($A480="","",IF($L480="Late","Late - 0 points",IF($J480="","Waiting for result",IF($O480&gt;0,"Scored",IF($O480&lt;0,"Wrong pick","No points")))))</x:f>
      </x:c>
    </x:row>
    <x:row r="481">
      <x:c r="A481" s="60" t="n">
        <x:f>'Form Responses 1'!A481</x:f>
        <x:v>0</x:v>
      </x:c>
      <x:c r="B481" s="18" t="n">
        <x:f>'Form Responses 1'!B481</x:f>
        <x:v>0</x:v>
      </x:c>
      <x:c r="C481" s="18" t="n">
        <x:f>'Form Responses 1'!C481</x:f>
        <x:v>0</x:v>
      </x:c>
      <x:c r="D481" s="18" t="n">
        <x:f>'Form Responses 1'!D481</x:f>
        <x:v>0</x:v>
      </x:c>
      <x:c r="E481" s="18" t="n">
        <x:f>'Form Responses 1'!E481</x:f>
        <x:v>0</x:v>
      </x:c>
      <x:c r="F481" s="18" t="n">
        <x:f>'Form Responses 1'!F481</x:f>
        <x:v>0</x:v>
      </x:c>
      <x:c r="G481" s="18" t="n">
        <x:f>'Form Responses 1'!G481</x:f>
        <x:v>0</x:v>
      </x:c>
      <x:c r="H481" s="18" t="str">
        <x:f>IF($C481="","",IFERROR(VLOOKUP($C481,Matches!$A$2:$Q$200,5,FALSE),"Unknown"))</x:f>
      </x:c>
      <x:c r="I481" s="60" t="str">
        <x:f>IF($C481="","",IFERROR(VLOOKUP($C481,Matches!$A$2:$Q$200,16,FALSE),""))</x:f>
      </x:c>
      <x:c r="J481" s="18" t="str">
        <x:f>IF($C481="","",IFERROR(VLOOKUP($C481,Matches!$A$2:$Q$200,11,FALSE),""))</x:f>
      </x:c>
      <x:c r="K481" s="18" t="str">
        <x:f>IF($C481="","",IFERROR(VLOOKUP($C481,Matches!$A$2:$Q$200,12,FALSE),""))</x:f>
      </x:c>
      <x:c r="L481" s="18" t="str">
        <x:f>IF($A481="","",IF($C481=1,"Yes",IF(OR($I481="",$A481&lt;$I481),"Yes","Late")))</x:f>
      </x:c>
      <x:c r="M481" s="66" t="str">
        <x:f>IF($A481="","",IF($L481&lt;&gt;"Yes",0,IF($E481="",0,IF($J481="",0,IF($H481="Group",IF($E481=$J481,Setup!$H$2,Setup!$H$3),IF($E481=$K481,Setup!$H$2,Setup!$H$3))))))</x:f>
      </x:c>
      <x:c r="N481" s="66" t="str">
        <x:f>IF($A481="","",IF($L481&lt;&gt;"Yes",0,IF(OR($F481="",$G481=""),0,IF(AND($F481=VLOOKUP($C481,Matches!$A$2:$Q$200,9,FALSE),$G481=VLOOKUP($C481,Matches!$A$2:$Q$200,10,FALSE)),Setup!$H$5,0))))</x:f>
      </x:c>
      <x:c r="O481" s="66" t="str">
        <x:f>IF($A481="","",$M481+$N481)</x:f>
      </x:c>
      <x:c r="P481" s="18" t="str">
        <x:f>IF($A481="","",IF($L481="Late","Late - 0 points",IF($J481="","Waiting for result",IF($O481&gt;0,"Scored",IF($O481&lt;0,"Wrong pick","No points")))))</x:f>
      </x:c>
    </x:row>
    <x:row r="482">
      <x:c r="A482" s="60" t="n">
        <x:f>'Form Responses 1'!A482</x:f>
        <x:v>0</x:v>
      </x:c>
      <x:c r="B482" s="18" t="n">
        <x:f>'Form Responses 1'!B482</x:f>
        <x:v>0</x:v>
      </x:c>
      <x:c r="C482" s="18" t="n">
        <x:f>'Form Responses 1'!C482</x:f>
        <x:v>0</x:v>
      </x:c>
      <x:c r="D482" s="18" t="n">
        <x:f>'Form Responses 1'!D482</x:f>
        <x:v>0</x:v>
      </x:c>
      <x:c r="E482" s="18" t="n">
        <x:f>'Form Responses 1'!E482</x:f>
        <x:v>0</x:v>
      </x:c>
      <x:c r="F482" s="18" t="n">
        <x:f>'Form Responses 1'!F482</x:f>
        <x:v>0</x:v>
      </x:c>
      <x:c r="G482" s="18" t="n">
        <x:f>'Form Responses 1'!G482</x:f>
        <x:v>0</x:v>
      </x:c>
      <x:c r="H482" s="18" t="str">
        <x:f>IF($C482="","",IFERROR(VLOOKUP($C482,Matches!$A$2:$Q$200,5,FALSE),"Unknown"))</x:f>
      </x:c>
      <x:c r="I482" s="60" t="str">
        <x:f>IF($C482="","",IFERROR(VLOOKUP($C482,Matches!$A$2:$Q$200,16,FALSE),""))</x:f>
      </x:c>
      <x:c r="J482" s="18" t="str">
        <x:f>IF($C482="","",IFERROR(VLOOKUP($C482,Matches!$A$2:$Q$200,11,FALSE),""))</x:f>
      </x:c>
      <x:c r="K482" s="18" t="str">
        <x:f>IF($C482="","",IFERROR(VLOOKUP($C482,Matches!$A$2:$Q$200,12,FALSE),""))</x:f>
      </x:c>
      <x:c r="L482" s="18" t="str">
        <x:f>IF($A482="","",IF($C482=1,"Yes",IF(OR($I482="",$A482&lt;$I482),"Yes","Late")))</x:f>
      </x:c>
      <x:c r="M482" s="66" t="str">
        <x:f>IF($A482="","",IF($L482&lt;&gt;"Yes",0,IF($E482="",0,IF($J482="",0,IF($H482="Group",IF($E482=$J482,Setup!$H$2,Setup!$H$3),IF($E482=$K482,Setup!$H$2,Setup!$H$3))))))</x:f>
      </x:c>
      <x:c r="N482" s="66" t="str">
        <x:f>IF($A482="","",IF($L482&lt;&gt;"Yes",0,IF(OR($F482="",$G482=""),0,IF(AND($F482=VLOOKUP($C482,Matches!$A$2:$Q$200,9,FALSE),$G482=VLOOKUP($C482,Matches!$A$2:$Q$200,10,FALSE)),Setup!$H$5,0))))</x:f>
      </x:c>
      <x:c r="O482" s="66" t="str">
        <x:f>IF($A482="","",$M482+$N482)</x:f>
      </x:c>
      <x:c r="P482" s="18" t="str">
        <x:f>IF($A482="","",IF($L482="Late","Late - 0 points",IF($J482="","Waiting for result",IF($O482&gt;0,"Scored",IF($O482&lt;0,"Wrong pick","No points")))))</x:f>
      </x:c>
    </x:row>
    <x:row r="483">
      <x:c r="A483" s="60" t="n">
        <x:f>'Form Responses 1'!A483</x:f>
        <x:v>0</x:v>
      </x:c>
      <x:c r="B483" s="18" t="n">
        <x:f>'Form Responses 1'!B483</x:f>
        <x:v>0</x:v>
      </x:c>
      <x:c r="C483" s="18" t="n">
        <x:f>'Form Responses 1'!C483</x:f>
        <x:v>0</x:v>
      </x:c>
      <x:c r="D483" s="18" t="n">
        <x:f>'Form Responses 1'!D483</x:f>
        <x:v>0</x:v>
      </x:c>
      <x:c r="E483" s="18" t="n">
        <x:f>'Form Responses 1'!E483</x:f>
        <x:v>0</x:v>
      </x:c>
      <x:c r="F483" s="18" t="n">
        <x:f>'Form Responses 1'!F483</x:f>
        <x:v>0</x:v>
      </x:c>
      <x:c r="G483" s="18" t="n">
        <x:f>'Form Responses 1'!G483</x:f>
        <x:v>0</x:v>
      </x:c>
      <x:c r="H483" s="18" t="str">
        <x:f>IF($C483="","",IFERROR(VLOOKUP($C483,Matches!$A$2:$Q$200,5,FALSE),"Unknown"))</x:f>
      </x:c>
      <x:c r="I483" s="60" t="str">
        <x:f>IF($C483="","",IFERROR(VLOOKUP($C483,Matches!$A$2:$Q$200,16,FALSE),""))</x:f>
      </x:c>
      <x:c r="J483" s="18" t="str">
        <x:f>IF($C483="","",IFERROR(VLOOKUP($C483,Matches!$A$2:$Q$200,11,FALSE),""))</x:f>
      </x:c>
      <x:c r="K483" s="18" t="str">
        <x:f>IF($C483="","",IFERROR(VLOOKUP($C483,Matches!$A$2:$Q$200,12,FALSE),""))</x:f>
      </x:c>
      <x:c r="L483" s="18" t="str">
        <x:f>IF($A483="","",IF($C483=1,"Yes",IF(OR($I483="",$A483&lt;$I483),"Yes","Late")))</x:f>
      </x:c>
      <x:c r="M483" s="66" t="str">
        <x:f>IF($A483="","",IF($L483&lt;&gt;"Yes",0,IF($E483="",0,IF($J483="",0,IF($H483="Group",IF($E483=$J483,Setup!$H$2,Setup!$H$3),IF($E483=$K483,Setup!$H$2,Setup!$H$3))))))</x:f>
      </x:c>
      <x:c r="N483" s="66" t="str">
        <x:f>IF($A483="","",IF($L483&lt;&gt;"Yes",0,IF(OR($F483="",$G483=""),0,IF(AND($F483=VLOOKUP($C483,Matches!$A$2:$Q$200,9,FALSE),$G483=VLOOKUP($C483,Matches!$A$2:$Q$200,10,FALSE)),Setup!$H$5,0))))</x:f>
      </x:c>
      <x:c r="O483" s="66" t="str">
        <x:f>IF($A483="","",$M483+$N483)</x:f>
      </x:c>
      <x:c r="P483" s="18" t="str">
        <x:f>IF($A483="","",IF($L483="Late","Late - 0 points",IF($J483="","Waiting for result",IF($O483&gt;0,"Scored",IF($O483&lt;0,"Wrong pick","No points")))))</x:f>
      </x:c>
    </x:row>
    <x:row r="484">
      <x:c r="A484" s="60" t="n">
        <x:f>'Form Responses 1'!A484</x:f>
        <x:v>0</x:v>
      </x:c>
      <x:c r="B484" s="18" t="n">
        <x:f>'Form Responses 1'!B484</x:f>
        <x:v>0</x:v>
      </x:c>
      <x:c r="C484" s="18" t="n">
        <x:f>'Form Responses 1'!C484</x:f>
        <x:v>0</x:v>
      </x:c>
      <x:c r="D484" s="18" t="n">
        <x:f>'Form Responses 1'!D484</x:f>
        <x:v>0</x:v>
      </x:c>
      <x:c r="E484" s="18" t="n">
        <x:f>'Form Responses 1'!E484</x:f>
        <x:v>0</x:v>
      </x:c>
      <x:c r="F484" s="18" t="n">
        <x:f>'Form Responses 1'!F484</x:f>
        <x:v>0</x:v>
      </x:c>
      <x:c r="G484" s="18" t="n">
        <x:f>'Form Responses 1'!G484</x:f>
        <x:v>0</x:v>
      </x:c>
      <x:c r="H484" s="18" t="str">
        <x:f>IF($C484="","",IFERROR(VLOOKUP($C484,Matches!$A$2:$Q$200,5,FALSE),"Unknown"))</x:f>
      </x:c>
      <x:c r="I484" s="60" t="str">
        <x:f>IF($C484="","",IFERROR(VLOOKUP($C484,Matches!$A$2:$Q$200,16,FALSE),""))</x:f>
      </x:c>
      <x:c r="J484" s="18" t="str">
        <x:f>IF($C484="","",IFERROR(VLOOKUP($C484,Matches!$A$2:$Q$200,11,FALSE),""))</x:f>
      </x:c>
      <x:c r="K484" s="18" t="str">
        <x:f>IF($C484="","",IFERROR(VLOOKUP($C484,Matches!$A$2:$Q$200,12,FALSE),""))</x:f>
      </x:c>
      <x:c r="L484" s="18" t="str">
        <x:f>IF($A484="","",IF($C484=1,"Yes",IF(OR($I484="",$A484&lt;$I484),"Yes","Late")))</x:f>
      </x:c>
      <x:c r="M484" s="66" t="str">
        <x:f>IF($A484="","",IF($L484&lt;&gt;"Yes",0,IF($E484="",0,IF($J484="",0,IF($H484="Group",IF($E484=$J484,Setup!$H$2,Setup!$H$3),IF($E484=$K484,Setup!$H$2,Setup!$H$3))))))</x:f>
      </x:c>
      <x:c r="N484" s="66" t="str">
        <x:f>IF($A484="","",IF($L484&lt;&gt;"Yes",0,IF(OR($F484="",$G484=""),0,IF(AND($F484=VLOOKUP($C484,Matches!$A$2:$Q$200,9,FALSE),$G484=VLOOKUP($C484,Matches!$A$2:$Q$200,10,FALSE)),Setup!$H$5,0))))</x:f>
      </x:c>
      <x:c r="O484" s="66" t="str">
        <x:f>IF($A484="","",$M484+$N484)</x:f>
      </x:c>
      <x:c r="P484" s="18" t="str">
        <x:f>IF($A484="","",IF($L484="Late","Late - 0 points",IF($J484="","Waiting for result",IF($O484&gt;0,"Scored",IF($O484&lt;0,"Wrong pick","No points")))))</x:f>
      </x:c>
    </x:row>
    <x:row r="485">
      <x:c r="A485" s="60" t="n">
        <x:f>'Form Responses 1'!A485</x:f>
        <x:v>0</x:v>
      </x:c>
      <x:c r="B485" s="18" t="n">
        <x:f>'Form Responses 1'!B485</x:f>
        <x:v>0</x:v>
      </x:c>
      <x:c r="C485" s="18" t="n">
        <x:f>'Form Responses 1'!C485</x:f>
        <x:v>0</x:v>
      </x:c>
      <x:c r="D485" s="18" t="n">
        <x:f>'Form Responses 1'!D485</x:f>
        <x:v>0</x:v>
      </x:c>
      <x:c r="E485" s="18" t="n">
        <x:f>'Form Responses 1'!E485</x:f>
        <x:v>0</x:v>
      </x:c>
      <x:c r="F485" s="18" t="n">
        <x:f>'Form Responses 1'!F485</x:f>
        <x:v>0</x:v>
      </x:c>
      <x:c r="G485" s="18" t="n">
        <x:f>'Form Responses 1'!G485</x:f>
        <x:v>0</x:v>
      </x:c>
      <x:c r="H485" s="18" t="str">
        <x:f>IF($C485="","",IFERROR(VLOOKUP($C485,Matches!$A$2:$Q$200,5,FALSE),"Unknown"))</x:f>
      </x:c>
      <x:c r="I485" s="60" t="str">
        <x:f>IF($C485="","",IFERROR(VLOOKUP($C485,Matches!$A$2:$Q$200,16,FALSE),""))</x:f>
      </x:c>
      <x:c r="J485" s="18" t="str">
        <x:f>IF($C485="","",IFERROR(VLOOKUP($C485,Matches!$A$2:$Q$200,11,FALSE),""))</x:f>
      </x:c>
      <x:c r="K485" s="18" t="str">
        <x:f>IF($C485="","",IFERROR(VLOOKUP($C485,Matches!$A$2:$Q$200,12,FALSE),""))</x:f>
      </x:c>
      <x:c r="L485" s="18" t="str">
        <x:f>IF($A485="","",IF($C485=1,"Yes",IF(OR($I485="",$A485&lt;$I485),"Yes","Late")))</x:f>
      </x:c>
      <x:c r="M485" s="66" t="str">
        <x:f>IF($A485="","",IF($L485&lt;&gt;"Yes",0,IF($E485="",0,IF($J485="",0,IF($H485="Group",IF($E485=$J485,Setup!$H$2,Setup!$H$3),IF($E485=$K485,Setup!$H$2,Setup!$H$3))))))</x:f>
      </x:c>
      <x:c r="N485" s="66" t="str">
        <x:f>IF($A485="","",IF($L485&lt;&gt;"Yes",0,IF(OR($F485="",$G485=""),0,IF(AND($F485=VLOOKUP($C485,Matches!$A$2:$Q$200,9,FALSE),$G485=VLOOKUP($C485,Matches!$A$2:$Q$200,10,FALSE)),Setup!$H$5,0))))</x:f>
      </x:c>
      <x:c r="O485" s="66" t="str">
        <x:f>IF($A485="","",$M485+$N485)</x:f>
      </x:c>
      <x:c r="P485" s="18" t="str">
        <x:f>IF($A485="","",IF($L485="Late","Late - 0 points",IF($J485="","Waiting for result",IF($O485&gt;0,"Scored",IF($O485&lt;0,"Wrong pick","No points")))))</x:f>
      </x:c>
    </x:row>
    <x:row r="486">
      <x:c r="A486" s="60" t="n">
        <x:f>'Form Responses 1'!A486</x:f>
        <x:v>0</x:v>
      </x:c>
      <x:c r="B486" s="18" t="n">
        <x:f>'Form Responses 1'!B486</x:f>
        <x:v>0</x:v>
      </x:c>
      <x:c r="C486" s="18" t="n">
        <x:f>'Form Responses 1'!C486</x:f>
        <x:v>0</x:v>
      </x:c>
      <x:c r="D486" s="18" t="n">
        <x:f>'Form Responses 1'!D486</x:f>
        <x:v>0</x:v>
      </x:c>
      <x:c r="E486" s="18" t="n">
        <x:f>'Form Responses 1'!E486</x:f>
        <x:v>0</x:v>
      </x:c>
      <x:c r="F486" s="18" t="n">
        <x:f>'Form Responses 1'!F486</x:f>
        <x:v>0</x:v>
      </x:c>
      <x:c r="G486" s="18" t="n">
        <x:f>'Form Responses 1'!G486</x:f>
        <x:v>0</x:v>
      </x:c>
      <x:c r="H486" s="18" t="str">
        <x:f>IF($C486="","",IFERROR(VLOOKUP($C486,Matches!$A$2:$Q$200,5,FALSE),"Unknown"))</x:f>
      </x:c>
      <x:c r="I486" s="60" t="str">
        <x:f>IF($C486="","",IFERROR(VLOOKUP($C486,Matches!$A$2:$Q$200,16,FALSE),""))</x:f>
      </x:c>
      <x:c r="J486" s="18" t="str">
        <x:f>IF($C486="","",IFERROR(VLOOKUP($C486,Matches!$A$2:$Q$200,11,FALSE),""))</x:f>
      </x:c>
      <x:c r="K486" s="18" t="str">
        <x:f>IF($C486="","",IFERROR(VLOOKUP($C486,Matches!$A$2:$Q$200,12,FALSE),""))</x:f>
      </x:c>
      <x:c r="L486" s="18" t="str">
        <x:f>IF($A486="","",IF($C486=1,"Yes",IF(OR($I486="",$A486&lt;$I486),"Yes","Late")))</x:f>
      </x:c>
      <x:c r="M486" s="66" t="str">
        <x:f>IF($A486="","",IF($L486&lt;&gt;"Yes",0,IF($E486="",0,IF($J486="",0,IF($H486="Group",IF($E486=$J486,Setup!$H$2,Setup!$H$3),IF($E486=$K486,Setup!$H$2,Setup!$H$3))))))</x:f>
      </x:c>
      <x:c r="N486" s="66" t="str">
        <x:f>IF($A486="","",IF($L486&lt;&gt;"Yes",0,IF(OR($F486="",$G486=""),0,IF(AND($F486=VLOOKUP($C486,Matches!$A$2:$Q$200,9,FALSE),$G486=VLOOKUP($C486,Matches!$A$2:$Q$200,10,FALSE)),Setup!$H$5,0))))</x:f>
      </x:c>
      <x:c r="O486" s="66" t="str">
        <x:f>IF($A486="","",$M486+$N486)</x:f>
      </x:c>
      <x:c r="P486" s="18" t="str">
        <x:f>IF($A486="","",IF($L486="Late","Late - 0 points",IF($J486="","Waiting for result",IF($O486&gt;0,"Scored",IF($O486&lt;0,"Wrong pick","No points")))))</x:f>
      </x:c>
    </x:row>
    <x:row r="487">
      <x:c r="A487" s="60" t="n">
        <x:f>'Form Responses 1'!A487</x:f>
        <x:v>0</x:v>
      </x:c>
      <x:c r="B487" s="18" t="n">
        <x:f>'Form Responses 1'!B487</x:f>
        <x:v>0</x:v>
      </x:c>
      <x:c r="C487" s="18" t="n">
        <x:f>'Form Responses 1'!C487</x:f>
        <x:v>0</x:v>
      </x:c>
      <x:c r="D487" s="18" t="n">
        <x:f>'Form Responses 1'!D487</x:f>
        <x:v>0</x:v>
      </x:c>
      <x:c r="E487" s="18" t="n">
        <x:f>'Form Responses 1'!E487</x:f>
        <x:v>0</x:v>
      </x:c>
      <x:c r="F487" s="18" t="n">
        <x:f>'Form Responses 1'!F487</x:f>
        <x:v>0</x:v>
      </x:c>
      <x:c r="G487" s="18" t="n">
        <x:f>'Form Responses 1'!G487</x:f>
        <x:v>0</x:v>
      </x:c>
      <x:c r="H487" s="18" t="str">
        <x:f>IF($C487="","",IFERROR(VLOOKUP($C487,Matches!$A$2:$Q$200,5,FALSE),"Unknown"))</x:f>
      </x:c>
      <x:c r="I487" s="60" t="str">
        <x:f>IF($C487="","",IFERROR(VLOOKUP($C487,Matches!$A$2:$Q$200,16,FALSE),""))</x:f>
      </x:c>
      <x:c r="J487" s="18" t="str">
        <x:f>IF($C487="","",IFERROR(VLOOKUP($C487,Matches!$A$2:$Q$200,11,FALSE),""))</x:f>
      </x:c>
      <x:c r="K487" s="18" t="str">
        <x:f>IF($C487="","",IFERROR(VLOOKUP($C487,Matches!$A$2:$Q$200,12,FALSE),""))</x:f>
      </x:c>
      <x:c r="L487" s="18" t="str">
        <x:f>IF($A487="","",IF($C487=1,"Yes",IF(OR($I487="",$A487&lt;$I487),"Yes","Late")))</x:f>
      </x:c>
      <x:c r="M487" s="66" t="str">
        <x:f>IF($A487="","",IF($L487&lt;&gt;"Yes",0,IF($E487="",0,IF($J487="",0,IF($H487="Group",IF($E487=$J487,Setup!$H$2,Setup!$H$3),IF($E487=$K487,Setup!$H$2,Setup!$H$3))))))</x:f>
      </x:c>
      <x:c r="N487" s="66" t="str">
        <x:f>IF($A487="","",IF($L487&lt;&gt;"Yes",0,IF(OR($F487="",$G487=""),0,IF(AND($F487=VLOOKUP($C487,Matches!$A$2:$Q$200,9,FALSE),$G487=VLOOKUP($C487,Matches!$A$2:$Q$200,10,FALSE)),Setup!$H$5,0))))</x:f>
      </x:c>
      <x:c r="O487" s="66" t="str">
        <x:f>IF($A487="","",$M487+$N487)</x:f>
      </x:c>
      <x:c r="P487" s="18" t="str">
        <x:f>IF($A487="","",IF($L487="Late","Late - 0 points",IF($J487="","Waiting for result",IF($O487&gt;0,"Scored",IF($O487&lt;0,"Wrong pick","No points")))))</x:f>
      </x:c>
    </x:row>
    <x:row r="488">
      <x:c r="A488" s="60" t="n">
        <x:f>'Form Responses 1'!A488</x:f>
        <x:v>0</x:v>
      </x:c>
      <x:c r="B488" s="18" t="n">
        <x:f>'Form Responses 1'!B488</x:f>
        <x:v>0</x:v>
      </x:c>
      <x:c r="C488" s="18" t="n">
        <x:f>'Form Responses 1'!C488</x:f>
        <x:v>0</x:v>
      </x:c>
      <x:c r="D488" s="18" t="n">
        <x:f>'Form Responses 1'!D488</x:f>
        <x:v>0</x:v>
      </x:c>
      <x:c r="E488" s="18" t="n">
        <x:f>'Form Responses 1'!E488</x:f>
        <x:v>0</x:v>
      </x:c>
      <x:c r="F488" s="18" t="n">
        <x:f>'Form Responses 1'!F488</x:f>
        <x:v>0</x:v>
      </x:c>
      <x:c r="G488" s="18" t="n">
        <x:f>'Form Responses 1'!G488</x:f>
        <x:v>0</x:v>
      </x:c>
      <x:c r="H488" s="18" t="str">
        <x:f>IF($C488="","",IFERROR(VLOOKUP($C488,Matches!$A$2:$Q$200,5,FALSE),"Unknown"))</x:f>
      </x:c>
      <x:c r="I488" s="60" t="str">
        <x:f>IF($C488="","",IFERROR(VLOOKUP($C488,Matches!$A$2:$Q$200,16,FALSE),""))</x:f>
      </x:c>
      <x:c r="J488" s="18" t="str">
        <x:f>IF($C488="","",IFERROR(VLOOKUP($C488,Matches!$A$2:$Q$200,11,FALSE),""))</x:f>
      </x:c>
      <x:c r="K488" s="18" t="str">
        <x:f>IF($C488="","",IFERROR(VLOOKUP($C488,Matches!$A$2:$Q$200,12,FALSE),""))</x:f>
      </x:c>
      <x:c r="L488" s="18" t="str">
        <x:f>IF($A488="","",IF($C488=1,"Yes",IF(OR($I488="",$A488&lt;$I488),"Yes","Late")))</x:f>
      </x:c>
      <x:c r="M488" s="66" t="str">
        <x:f>IF($A488="","",IF($L488&lt;&gt;"Yes",0,IF($E488="",0,IF($J488="",0,IF($H488="Group",IF($E488=$J488,Setup!$H$2,Setup!$H$3),IF($E488=$K488,Setup!$H$2,Setup!$H$3))))))</x:f>
      </x:c>
      <x:c r="N488" s="66" t="str">
        <x:f>IF($A488="","",IF($L488&lt;&gt;"Yes",0,IF(OR($F488="",$G488=""),0,IF(AND($F488=VLOOKUP($C488,Matches!$A$2:$Q$200,9,FALSE),$G488=VLOOKUP($C488,Matches!$A$2:$Q$200,10,FALSE)),Setup!$H$5,0))))</x:f>
      </x:c>
      <x:c r="O488" s="66" t="str">
        <x:f>IF($A488="","",$M488+$N488)</x:f>
      </x:c>
      <x:c r="P488" s="18" t="str">
        <x:f>IF($A488="","",IF($L488="Late","Late - 0 points",IF($J488="","Waiting for result",IF($O488&gt;0,"Scored",IF($O488&lt;0,"Wrong pick","No points")))))</x:f>
      </x:c>
    </x:row>
    <x:row r="489">
      <x:c r="A489" s="60" t="n">
        <x:f>'Form Responses 1'!A489</x:f>
        <x:v>0</x:v>
      </x:c>
      <x:c r="B489" s="18" t="n">
        <x:f>'Form Responses 1'!B489</x:f>
        <x:v>0</x:v>
      </x:c>
      <x:c r="C489" s="18" t="n">
        <x:f>'Form Responses 1'!C489</x:f>
        <x:v>0</x:v>
      </x:c>
      <x:c r="D489" s="18" t="n">
        <x:f>'Form Responses 1'!D489</x:f>
        <x:v>0</x:v>
      </x:c>
      <x:c r="E489" s="18" t="n">
        <x:f>'Form Responses 1'!E489</x:f>
        <x:v>0</x:v>
      </x:c>
      <x:c r="F489" s="18" t="n">
        <x:f>'Form Responses 1'!F489</x:f>
        <x:v>0</x:v>
      </x:c>
      <x:c r="G489" s="18" t="n">
        <x:f>'Form Responses 1'!G489</x:f>
        <x:v>0</x:v>
      </x:c>
      <x:c r="H489" s="18" t="str">
        <x:f>IF($C489="","",IFERROR(VLOOKUP($C489,Matches!$A$2:$Q$200,5,FALSE),"Unknown"))</x:f>
      </x:c>
      <x:c r="I489" s="60" t="str">
        <x:f>IF($C489="","",IFERROR(VLOOKUP($C489,Matches!$A$2:$Q$200,16,FALSE),""))</x:f>
      </x:c>
      <x:c r="J489" s="18" t="str">
        <x:f>IF($C489="","",IFERROR(VLOOKUP($C489,Matches!$A$2:$Q$200,11,FALSE),""))</x:f>
      </x:c>
      <x:c r="K489" s="18" t="str">
        <x:f>IF($C489="","",IFERROR(VLOOKUP($C489,Matches!$A$2:$Q$200,12,FALSE),""))</x:f>
      </x:c>
      <x:c r="L489" s="18" t="str">
        <x:f>IF($A489="","",IF($C489=1,"Yes",IF(OR($I489="",$A489&lt;$I489),"Yes","Late")))</x:f>
      </x:c>
      <x:c r="M489" s="66" t="str">
        <x:f>IF($A489="","",IF($L489&lt;&gt;"Yes",0,IF($E489="",0,IF($J489="",0,IF($H489="Group",IF($E489=$J489,Setup!$H$2,Setup!$H$3),IF($E489=$K489,Setup!$H$2,Setup!$H$3))))))</x:f>
      </x:c>
      <x:c r="N489" s="66" t="str">
        <x:f>IF($A489="","",IF($L489&lt;&gt;"Yes",0,IF(OR($F489="",$G489=""),0,IF(AND($F489=VLOOKUP($C489,Matches!$A$2:$Q$200,9,FALSE),$G489=VLOOKUP($C489,Matches!$A$2:$Q$200,10,FALSE)),Setup!$H$5,0))))</x:f>
      </x:c>
      <x:c r="O489" s="66" t="str">
        <x:f>IF($A489="","",$M489+$N489)</x:f>
      </x:c>
      <x:c r="P489" s="18" t="str">
        <x:f>IF($A489="","",IF($L489="Late","Late - 0 points",IF($J489="","Waiting for result",IF($O489&gt;0,"Scored",IF($O489&lt;0,"Wrong pick","No points")))))</x:f>
      </x:c>
    </x:row>
    <x:row r="490">
      <x:c r="A490" s="60" t="n">
        <x:f>'Form Responses 1'!A490</x:f>
        <x:v>0</x:v>
      </x:c>
      <x:c r="B490" s="18" t="n">
        <x:f>'Form Responses 1'!B490</x:f>
        <x:v>0</x:v>
      </x:c>
      <x:c r="C490" s="18" t="n">
        <x:f>'Form Responses 1'!C490</x:f>
        <x:v>0</x:v>
      </x:c>
      <x:c r="D490" s="18" t="n">
        <x:f>'Form Responses 1'!D490</x:f>
        <x:v>0</x:v>
      </x:c>
      <x:c r="E490" s="18" t="n">
        <x:f>'Form Responses 1'!E490</x:f>
        <x:v>0</x:v>
      </x:c>
      <x:c r="F490" s="18" t="n">
        <x:f>'Form Responses 1'!F490</x:f>
        <x:v>0</x:v>
      </x:c>
      <x:c r="G490" s="18" t="n">
        <x:f>'Form Responses 1'!G490</x:f>
        <x:v>0</x:v>
      </x:c>
      <x:c r="H490" s="18" t="str">
        <x:f>IF($C490="","",IFERROR(VLOOKUP($C490,Matches!$A$2:$Q$200,5,FALSE),"Unknown"))</x:f>
      </x:c>
      <x:c r="I490" s="60" t="str">
        <x:f>IF($C490="","",IFERROR(VLOOKUP($C490,Matches!$A$2:$Q$200,16,FALSE),""))</x:f>
      </x:c>
      <x:c r="J490" s="18" t="str">
        <x:f>IF($C490="","",IFERROR(VLOOKUP($C490,Matches!$A$2:$Q$200,11,FALSE),""))</x:f>
      </x:c>
      <x:c r="K490" s="18" t="str">
        <x:f>IF($C490="","",IFERROR(VLOOKUP($C490,Matches!$A$2:$Q$200,12,FALSE),""))</x:f>
      </x:c>
      <x:c r="L490" s="18" t="str">
        <x:f>IF($A490="","",IF($C490=1,"Yes",IF(OR($I490="",$A490&lt;$I490),"Yes","Late")))</x:f>
      </x:c>
      <x:c r="M490" s="66" t="str">
        <x:f>IF($A490="","",IF($L490&lt;&gt;"Yes",0,IF($E490="",0,IF($J490="",0,IF($H490="Group",IF($E490=$J490,Setup!$H$2,Setup!$H$3),IF($E490=$K490,Setup!$H$2,Setup!$H$3))))))</x:f>
      </x:c>
      <x:c r="N490" s="66" t="str">
        <x:f>IF($A490="","",IF($L490&lt;&gt;"Yes",0,IF(OR($F490="",$G490=""),0,IF(AND($F490=VLOOKUP($C490,Matches!$A$2:$Q$200,9,FALSE),$G490=VLOOKUP($C490,Matches!$A$2:$Q$200,10,FALSE)),Setup!$H$5,0))))</x:f>
      </x:c>
      <x:c r="O490" s="66" t="str">
        <x:f>IF($A490="","",$M490+$N490)</x:f>
      </x:c>
      <x:c r="P490" s="18" t="str">
        <x:f>IF($A490="","",IF($L490="Late","Late - 0 points",IF($J490="","Waiting for result",IF($O490&gt;0,"Scored",IF($O490&lt;0,"Wrong pick","No points")))))</x:f>
      </x:c>
    </x:row>
    <x:row r="491">
      <x:c r="A491" s="60" t="n">
        <x:f>'Form Responses 1'!A491</x:f>
        <x:v>0</x:v>
      </x:c>
      <x:c r="B491" s="18" t="n">
        <x:f>'Form Responses 1'!B491</x:f>
        <x:v>0</x:v>
      </x:c>
      <x:c r="C491" s="18" t="n">
        <x:f>'Form Responses 1'!C491</x:f>
        <x:v>0</x:v>
      </x:c>
      <x:c r="D491" s="18" t="n">
        <x:f>'Form Responses 1'!D491</x:f>
        <x:v>0</x:v>
      </x:c>
      <x:c r="E491" s="18" t="n">
        <x:f>'Form Responses 1'!E491</x:f>
        <x:v>0</x:v>
      </x:c>
      <x:c r="F491" s="18" t="n">
        <x:f>'Form Responses 1'!F491</x:f>
        <x:v>0</x:v>
      </x:c>
      <x:c r="G491" s="18" t="n">
        <x:f>'Form Responses 1'!G491</x:f>
        <x:v>0</x:v>
      </x:c>
      <x:c r="H491" s="18" t="str">
        <x:f>IF($C491="","",IFERROR(VLOOKUP($C491,Matches!$A$2:$Q$200,5,FALSE),"Unknown"))</x:f>
      </x:c>
      <x:c r="I491" s="60" t="str">
        <x:f>IF($C491="","",IFERROR(VLOOKUP($C491,Matches!$A$2:$Q$200,16,FALSE),""))</x:f>
      </x:c>
      <x:c r="J491" s="18" t="str">
        <x:f>IF($C491="","",IFERROR(VLOOKUP($C491,Matches!$A$2:$Q$200,11,FALSE),""))</x:f>
      </x:c>
      <x:c r="K491" s="18" t="str">
        <x:f>IF($C491="","",IFERROR(VLOOKUP($C491,Matches!$A$2:$Q$200,12,FALSE),""))</x:f>
      </x:c>
      <x:c r="L491" s="18" t="str">
        <x:f>IF($A491="","",IF($C491=1,"Yes",IF(OR($I491="",$A491&lt;$I491),"Yes","Late")))</x:f>
      </x:c>
      <x:c r="M491" s="66" t="str">
        <x:f>IF($A491="","",IF($L491&lt;&gt;"Yes",0,IF($E491="",0,IF($J491="",0,IF($H491="Group",IF($E491=$J491,Setup!$H$2,Setup!$H$3),IF($E491=$K491,Setup!$H$2,Setup!$H$3))))))</x:f>
      </x:c>
      <x:c r="N491" s="66" t="str">
        <x:f>IF($A491="","",IF($L491&lt;&gt;"Yes",0,IF(OR($F491="",$G491=""),0,IF(AND($F491=VLOOKUP($C491,Matches!$A$2:$Q$200,9,FALSE),$G491=VLOOKUP($C491,Matches!$A$2:$Q$200,10,FALSE)),Setup!$H$5,0))))</x:f>
      </x:c>
      <x:c r="O491" s="66" t="str">
        <x:f>IF($A491="","",$M491+$N491)</x:f>
      </x:c>
      <x:c r="P491" s="18" t="str">
        <x:f>IF($A491="","",IF($L491="Late","Late - 0 points",IF($J491="","Waiting for result",IF($O491&gt;0,"Scored",IF($O491&lt;0,"Wrong pick","No points")))))</x:f>
      </x:c>
    </x:row>
    <x:row r="492">
      <x:c r="A492" s="60" t="n">
        <x:f>'Form Responses 1'!A492</x:f>
        <x:v>0</x:v>
      </x:c>
      <x:c r="B492" s="18" t="n">
        <x:f>'Form Responses 1'!B492</x:f>
        <x:v>0</x:v>
      </x:c>
      <x:c r="C492" s="18" t="n">
        <x:f>'Form Responses 1'!C492</x:f>
        <x:v>0</x:v>
      </x:c>
      <x:c r="D492" s="18" t="n">
        <x:f>'Form Responses 1'!D492</x:f>
        <x:v>0</x:v>
      </x:c>
      <x:c r="E492" s="18" t="n">
        <x:f>'Form Responses 1'!E492</x:f>
        <x:v>0</x:v>
      </x:c>
      <x:c r="F492" s="18" t="n">
        <x:f>'Form Responses 1'!F492</x:f>
        <x:v>0</x:v>
      </x:c>
      <x:c r="G492" s="18" t="n">
        <x:f>'Form Responses 1'!G492</x:f>
        <x:v>0</x:v>
      </x:c>
      <x:c r="H492" s="18" t="str">
        <x:f>IF($C492="","",IFERROR(VLOOKUP($C492,Matches!$A$2:$Q$200,5,FALSE),"Unknown"))</x:f>
      </x:c>
      <x:c r="I492" s="60" t="str">
        <x:f>IF($C492="","",IFERROR(VLOOKUP($C492,Matches!$A$2:$Q$200,16,FALSE),""))</x:f>
      </x:c>
      <x:c r="J492" s="18" t="str">
        <x:f>IF($C492="","",IFERROR(VLOOKUP($C492,Matches!$A$2:$Q$200,11,FALSE),""))</x:f>
      </x:c>
      <x:c r="K492" s="18" t="str">
        <x:f>IF($C492="","",IFERROR(VLOOKUP($C492,Matches!$A$2:$Q$200,12,FALSE),""))</x:f>
      </x:c>
      <x:c r="L492" s="18" t="str">
        <x:f>IF($A492="","",IF($C492=1,"Yes",IF(OR($I492="",$A492&lt;$I492),"Yes","Late")))</x:f>
      </x:c>
      <x:c r="M492" s="66" t="str">
        <x:f>IF($A492="","",IF($L492&lt;&gt;"Yes",0,IF($E492="",0,IF($J492="",0,IF($H492="Group",IF($E492=$J492,Setup!$H$2,Setup!$H$3),IF($E492=$K492,Setup!$H$2,Setup!$H$3))))))</x:f>
      </x:c>
      <x:c r="N492" s="66" t="str">
        <x:f>IF($A492="","",IF($L492&lt;&gt;"Yes",0,IF(OR($F492="",$G492=""),0,IF(AND($F492=VLOOKUP($C492,Matches!$A$2:$Q$200,9,FALSE),$G492=VLOOKUP($C492,Matches!$A$2:$Q$200,10,FALSE)),Setup!$H$5,0))))</x:f>
      </x:c>
      <x:c r="O492" s="66" t="str">
        <x:f>IF($A492="","",$M492+$N492)</x:f>
      </x:c>
      <x:c r="P492" s="18" t="str">
        <x:f>IF($A492="","",IF($L492="Late","Late - 0 points",IF($J492="","Waiting for result",IF($O492&gt;0,"Scored",IF($O492&lt;0,"Wrong pick","No points")))))</x:f>
      </x:c>
    </x:row>
    <x:row r="493">
      <x:c r="A493" s="60" t="n">
        <x:f>'Form Responses 1'!A493</x:f>
        <x:v>0</x:v>
      </x:c>
      <x:c r="B493" s="18" t="n">
        <x:f>'Form Responses 1'!B493</x:f>
        <x:v>0</x:v>
      </x:c>
      <x:c r="C493" s="18" t="n">
        <x:f>'Form Responses 1'!C493</x:f>
        <x:v>0</x:v>
      </x:c>
      <x:c r="D493" s="18" t="n">
        <x:f>'Form Responses 1'!D493</x:f>
        <x:v>0</x:v>
      </x:c>
      <x:c r="E493" s="18" t="n">
        <x:f>'Form Responses 1'!E493</x:f>
        <x:v>0</x:v>
      </x:c>
      <x:c r="F493" s="18" t="n">
        <x:f>'Form Responses 1'!F493</x:f>
        <x:v>0</x:v>
      </x:c>
      <x:c r="G493" s="18" t="n">
        <x:f>'Form Responses 1'!G493</x:f>
        <x:v>0</x:v>
      </x:c>
      <x:c r="H493" s="18" t="str">
        <x:f>IF($C493="","",IFERROR(VLOOKUP($C493,Matches!$A$2:$Q$200,5,FALSE),"Unknown"))</x:f>
      </x:c>
      <x:c r="I493" s="60" t="str">
        <x:f>IF($C493="","",IFERROR(VLOOKUP($C493,Matches!$A$2:$Q$200,16,FALSE),""))</x:f>
      </x:c>
      <x:c r="J493" s="18" t="str">
        <x:f>IF($C493="","",IFERROR(VLOOKUP($C493,Matches!$A$2:$Q$200,11,FALSE),""))</x:f>
      </x:c>
      <x:c r="K493" s="18" t="str">
        <x:f>IF($C493="","",IFERROR(VLOOKUP($C493,Matches!$A$2:$Q$200,12,FALSE),""))</x:f>
      </x:c>
      <x:c r="L493" s="18" t="str">
        <x:f>IF($A493="","",IF($C493=1,"Yes",IF(OR($I493="",$A493&lt;$I493),"Yes","Late")))</x:f>
      </x:c>
      <x:c r="M493" s="66" t="str">
        <x:f>IF($A493="","",IF($L493&lt;&gt;"Yes",0,IF($E493="",0,IF($J493="",0,IF($H493="Group",IF($E493=$J493,Setup!$H$2,Setup!$H$3),IF($E493=$K493,Setup!$H$2,Setup!$H$3))))))</x:f>
      </x:c>
      <x:c r="N493" s="66" t="str">
        <x:f>IF($A493="","",IF($L493&lt;&gt;"Yes",0,IF(OR($F493="",$G493=""),0,IF(AND($F493=VLOOKUP($C493,Matches!$A$2:$Q$200,9,FALSE),$G493=VLOOKUP($C493,Matches!$A$2:$Q$200,10,FALSE)),Setup!$H$5,0))))</x:f>
      </x:c>
      <x:c r="O493" s="66" t="str">
        <x:f>IF($A493="","",$M493+$N493)</x:f>
      </x:c>
      <x:c r="P493" s="18" t="str">
        <x:f>IF($A493="","",IF($L493="Late","Late - 0 points",IF($J493="","Waiting for result",IF($O493&gt;0,"Scored",IF($O493&lt;0,"Wrong pick","No points")))))</x:f>
      </x:c>
    </x:row>
    <x:row r="494">
      <x:c r="A494" s="60" t="n">
        <x:f>'Form Responses 1'!A494</x:f>
        <x:v>0</x:v>
      </x:c>
      <x:c r="B494" s="18" t="n">
        <x:f>'Form Responses 1'!B494</x:f>
        <x:v>0</x:v>
      </x:c>
      <x:c r="C494" s="18" t="n">
        <x:f>'Form Responses 1'!C494</x:f>
        <x:v>0</x:v>
      </x:c>
      <x:c r="D494" s="18" t="n">
        <x:f>'Form Responses 1'!D494</x:f>
        <x:v>0</x:v>
      </x:c>
      <x:c r="E494" s="18" t="n">
        <x:f>'Form Responses 1'!E494</x:f>
        <x:v>0</x:v>
      </x:c>
      <x:c r="F494" s="18" t="n">
        <x:f>'Form Responses 1'!F494</x:f>
        <x:v>0</x:v>
      </x:c>
      <x:c r="G494" s="18" t="n">
        <x:f>'Form Responses 1'!G494</x:f>
        <x:v>0</x:v>
      </x:c>
      <x:c r="H494" s="18" t="str">
        <x:f>IF($C494="","",IFERROR(VLOOKUP($C494,Matches!$A$2:$Q$200,5,FALSE),"Unknown"))</x:f>
      </x:c>
      <x:c r="I494" s="60" t="str">
        <x:f>IF($C494="","",IFERROR(VLOOKUP($C494,Matches!$A$2:$Q$200,16,FALSE),""))</x:f>
      </x:c>
      <x:c r="J494" s="18" t="str">
        <x:f>IF($C494="","",IFERROR(VLOOKUP($C494,Matches!$A$2:$Q$200,11,FALSE),""))</x:f>
      </x:c>
      <x:c r="K494" s="18" t="str">
        <x:f>IF($C494="","",IFERROR(VLOOKUP($C494,Matches!$A$2:$Q$200,12,FALSE),""))</x:f>
      </x:c>
      <x:c r="L494" s="18" t="str">
        <x:f>IF($A494="","",IF($C494=1,"Yes",IF(OR($I494="",$A494&lt;$I494),"Yes","Late")))</x:f>
      </x:c>
      <x:c r="M494" s="66" t="str">
        <x:f>IF($A494="","",IF($L494&lt;&gt;"Yes",0,IF($E494="",0,IF($J494="",0,IF($H494="Group",IF($E494=$J494,Setup!$H$2,Setup!$H$3),IF($E494=$K494,Setup!$H$2,Setup!$H$3))))))</x:f>
      </x:c>
      <x:c r="N494" s="66" t="str">
        <x:f>IF($A494="","",IF($L494&lt;&gt;"Yes",0,IF(OR($F494="",$G494=""),0,IF(AND($F494=VLOOKUP($C494,Matches!$A$2:$Q$200,9,FALSE),$G494=VLOOKUP($C494,Matches!$A$2:$Q$200,10,FALSE)),Setup!$H$5,0))))</x:f>
      </x:c>
      <x:c r="O494" s="66" t="str">
        <x:f>IF($A494="","",$M494+$N494)</x:f>
      </x:c>
      <x:c r="P494" s="18" t="str">
        <x:f>IF($A494="","",IF($L494="Late","Late - 0 points",IF($J494="","Waiting for result",IF($O494&gt;0,"Scored",IF($O494&lt;0,"Wrong pick","No points")))))</x:f>
      </x:c>
    </x:row>
    <x:row r="495">
      <x:c r="A495" s="60" t="n">
        <x:f>'Form Responses 1'!A495</x:f>
        <x:v>0</x:v>
      </x:c>
      <x:c r="B495" s="18" t="n">
        <x:f>'Form Responses 1'!B495</x:f>
        <x:v>0</x:v>
      </x:c>
      <x:c r="C495" s="18" t="n">
        <x:f>'Form Responses 1'!C495</x:f>
        <x:v>0</x:v>
      </x:c>
      <x:c r="D495" s="18" t="n">
        <x:f>'Form Responses 1'!D495</x:f>
        <x:v>0</x:v>
      </x:c>
      <x:c r="E495" s="18" t="n">
        <x:f>'Form Responses 1'!E495</x:f>
        <x:v>0</x:v>
      </x:c>
      <x:c r="F495" s="18" t="n">
        <x:f>'Form Responses 1'!F495</x:f>
        <x:v>0</x:v>
      </x:c>
      <x:c r="G495" s="18" t="n">
        <x:f>'Form Responses 1'!G495</x:f>
        <x:v>0</x:v>
      </x:c>
      <x:c r="H495" s="18" t="str">
        <x:f>IF($C495="","",IFERROR(VLOOKUP($C495,Matches!$A$2:$Q$200,5,FALSE),"Unknown"))</x:f>
      </x:c>
      <x:c r="I495" s="60" t="str">
        <x:f>IF($C495="","",IFERROR(VLOOKUP($C495,Matches!$A$2:$Q$200,16,FALSE),""))</x:f>
      </x:c>
      <x:c r="J495" s="18" t="str">
        <x:f>IF($C495="","",IFERROR(VLOOKUP($C495,Matches!$A$2:$Q$200,11,FALSE),""))</x:f>
      </x:c>
      <x:c r="K495" s="18" t="str">
        <x:f>IF($C495="","",IFERROR(VLOOKUP($C495,Matches!$A$2:$Q$200,12,FALSE),""))</x:f>
      </x:c>
      <x:c r="L495" s="18" t="str">
        <x:f>IF($A495="","",IF($C495=1,"Yes",IF(OR($I495="",$A495&lt;$I495),"Yes","Late")))</x:f>
      </x:c>
      <x:c r="M495" s="66" t="str">
        <x:f>IF($A495="","",IF($L495&lt;&gt;"Yes",0,IF($E495="",0,IF($J495="",0,IF($H495="Group",IF($E495=$J495,Setup!$H$2,Setup!$H$3),IF($E495=$K495,Setup!$H$2,Setup!$H$3))))))</x:f>
      </x:c>
      <x:c r="N495" s="66" t="str">
        <x:f>IF($A495="","",IF($L495&lt;&gt;"Yes",0,IF(OR($F495="",$G495=""),0,IF(AND($F495=VLOOKUP($C495,Matches!$A$2:$Q$200,9,FALSE),$G495=VLOOKUP($C495,Matches!$A$2:$Q$200,10,FALSE)),Setup!$H$5,0))))</x:f>
      </x:c>
      <x:c r="O495" s="66" t="str">
        <x:f>IF($A495="","",$M495+$N495)</x:f>
      </x:c>
      <x:c r="P495" s="18" t="str">
        <x:f>IF($A495="","",IF($L495="Late","Late - 0 points",IF($J495="","Waiting for result",IF($O495&gt;0,"Scored",IF($O495&lt;0,"Wrong pick","No points")))))</x:f>
      </x:c>
    </x:row>
    <x:row r="496">
      <x:c r="A496" s="60" t="n">
        <x:f>'Form Responses 1'!A496</x:f>
        <x:v>0</x:v>
      </x:c>
      <x:c r="B496" s="18" t="n">
        <x:f>'Form Responses 1'!B496</x:f>
        <x:v>0</x:v>
      </x:c>
      <x:c r="C496" s="18" t="n">
        <x:f>'Form Responses 1'!C496</x:f>
        <x:v>0</x:v>
      </x:c>
      <x:c r="D496" s="18" t="n">
        <x:f>'Form Responses 1'!D496</x:f>
        <x:v>0</x:v>
      </x:c>
      <x:c r="E496" s="18" t="n">
        <x:f>'Form Responses 1'!E496</x:f>
        <x:v>0</x:v>
      </x:c>
      <x:c r="F496" s="18" t="n">
        <x:f>'Form Responses 1'!F496</x:f>
        <x:v>0</x:v>
      </x:c>
      <x:c r="G496" s="18" t="n">
        <x:f>'Form Responses 1'!G496</x:f>
        <x:v>0</x:v>
      </x:c>
      <x:c r="H496" s="18" t="str">
        <x:f>IF($C496="","",IFERROR(VLOOKUP($C496,Matches!$A$2:$Q$200,5,FALSE),"Unknown"))</x:f>
      </x:c>
      <x:c r="I496" s="60" t="str">
        <x:f>IF($C496="","",IFERROR(VLOOKUP($C496,Matches!$A$2:$Q$200,16,FALSE),""))</x:f>
      </x:c>
      <x:c r="J496" s="18" t="str">
        <x:f>IF($C496="","",IFERROR(VLOOKUP($C496,Matches!$A$2:$Q$200,11,FALSE),""))</x:f>
      </x:c>
      <x:c r="K496" s="18" t="str">
        <x:f>IF($C496="","",IFERROR(VLOOKUP($C496,Matches!$A$2:$Q$200,12,FALSE),""))</x:f>
      </x:c>
      <x:c r="L496" s="18" t="str">
        <x:f>IF($A496="","",IF($C496=1,"Yes",IF(OR($I496="",$A496&lt;$I496),"Yes","Late")))</x:f>
      </x:c>
      <x:c r="M496" s="66" t="str">
        <x:f>IF($A496="","",IF($L496&lt;&gt;"Yes",0,IF($E496="",0,IF($J496="",0,IF($H496="Group",IF($E496=$J496,Setup!$H$2,Setup!$H$3),IF($E496=$K496,Setup!$H$2,Setup!$H$3))))))</x:f>
      </x:c>
      <x:c r="N496" s="66" t="str">
        <x:f>IF($A496="","",IF($L496&lt;&gt;"Yes",0,IF(OR($F496="",$G496=""),0,IF(AND($F496=VLOOKUP($C496,Matches!$A$2:$Q$200,9,FALSE),$G496=VLOOKUP($C496,Matches!$A$2:$Q$200,10,FALSE)),Setup!$H$5,0))))</x:f>
      </x:c>
      <x:c r="O496" s="66" t="str">
        <x:f>IF($A496="","",$M496+$N496)</x:f>
      </x:c>
      <x:c r="P496" s="18" t="str">
        <x:f>IF($A496="","",IF($L496="Late","Late - 0 points",IF($J496="","Waiting for result",IF($O496&gt;0,"Scored",IF($O496&lt;0,"Wrong pick","No points")))))</x:f>
      </x:c>
    </x:row>
    <x:row r="497">
      <x:c r="A497" s="60" t="n">
        <x:f>'Form Responses 1'!A497</x:f>
        <x:v>0</x:v>
      </x:c>
      <x:c r="B497" s="18" t="n">
        <x:f>'Form Responses 1'!B497</x:f>
        <x:v>0</x:v>
      </x:c>
      <x:c r="C497" s="18" t="n">
        <x:f>'Form Responses 1'!C497</x:f>
        <x:v>0</x:v>
      </x:c>
      <x:c r="D497" s="18" t="n">
        <x:f>'Form Responses 1'!D497</x:f>
        <x:v>0</x:v>
      </x:c>
      <x:c r="E497" s="18" t="n">
        <x:f>'Form Responses 1'!E497</x:f>
        <x:v>0</x:v>
      </x:c>
      <x:c r="F497" s="18" t="n">
        <x:f>'Form Responses 1'!F497</x:f>
        <x:v>0</x:v>
      </x:c>
      <x:c r="G497" s="18" t="n">
        <x:f>'Form Responses 1'!G497</x:f>
        <x:v>0</x:v>
      </x:c>
      <x:c r="H497" s="18" t="str">
        <x:f>IF($C497="","",IFERROR(VLOOKUP($C497,Matches!$A$2:$Q$200,5,FALSE),"Unknown"))</x:f>
      </x:c>
      <x:c r="I497" s="60" t="str">
        <x:f>IF($C497="","",IFERROR(VLOOKUP($C497,Matches!$A$2:$Q$200,16,FALSE),""))</x:f>
      </x:c>
      <x:c r="J497" s="18" t="str">
        <x:f>IF($C497="","",IFERROR(VLOOKUP($C497,Matches!$A$2:$Q$200,11,FALSE),""))</x:f>
      </x:c>
      <x:c r="K497" s="18" t="str">
        <x:f>IF($C497="","",IFERROR(VLOOKUP($C497,Matches!$A$2:$Q$200,12,FALSE),""))</x:f>
      </x:c>
      <x:c r="L497" s="18" t="str">
        <x:f>IF($A497="","",IF($C497=1,"Yes",IF(OR($I497="",$A497&lt;$I497),"Yes","Late")))</x:f>
      </x:c>
      <x:c r="M497" s="66" t="str">
        <x:f>IF($A497="","",IF($L497&lt;&gt;"Yes",0,IF($E497="",0,IF($J497="",0,IF($H497="Group",IF($E497=$J497,Setup!$H$2,Setup!$H$3),IF($E497=$K497,Setup!$H$2,Setup!$H$3))))))</x:f>
      </x:c>
      <x:c r="N497" s="66" t="str">
        <x:f>IF($A497="","",IF($L497&lt;&gt;"Yes",0,IF(OR($F497="",$G497=""),0,IF(AND($F497=VLOOKUP($C497,Matches!$A$2:$Q$200,9,FALSE),$G497=VLOOKUP($C497,Matches!$A$2:$Q$200,10,FALSE)),Setup!$H$5,0))))</x:f>
      </x:c>
      <x:c r="O497" s="66" t="str">
        <x:f>IF($A497="","",$M497+$N497)</x:f>
      </x:c>
      <x:c r="P497" s="18" t="str">
        <x:f>IF($A497="","",IF($L497="Late","Late - 0 points",IF($J497="","Waiting for result",IF($O497&gt;0,"Scored",IF($O497&lt;0,"Wrong pick","No points")))))</x:f>
      </x:c>
    </x:row>
    <x:row r="498">
      <x:c r="A498" s="60" t="n">
        <x:f>'Form Responses 1'!A498</x:f>
        <x:v>0</x:v>
      </x:c>
      <x:c r="B498" s="18" t="n">
        <x:f>'Form Responses 1'!B498</x:f>
        <x:v>0</x:v>
      </x:c>
      <x:c r="C498" s="18" t="n">
        <x:f>'Form Responses 1'!C498</x:f>
        <x:v>0</x:v>
      </x:c>
      <x:c r="D498" s="18" t="n">
        <x:f>'Form Responses 1'!D498</x:f>
        <x:v>0</x:v>
      </x:c>
      <x:c r="E498" s="18" t="n">
        <x:f>'Form Responses 1'!E498</x:f>
        <x:v>0</x:v>
      </x:c>
      <x:c r="F498" s="18" t="n">
        <x:f>'Form Responses 1'!F498</x:f>
        <x:v>0</x:v>
      </x:c>
      <x:c r="G498" s="18" t="n">
        <x:f>'Form Responses 1'!G498</x:f>
        <x:v>0</x:v>
      </x:c>
      <x:c r="H498" s="18" t="str">
        <x:f>IF($C498="","",IFERROR(VLOOKUP($C498,Matches!$A$2:$Q$200,5,FALSE),"Unknown"))</x:f>
      </x:c>
      <x:c r="I498" s="60" t="str">
        <x:f>IF($C498="","",IFERROR(VLOOKUP($C498,Matches!$A$2:$Q$200,16,FALSE),""))</x:f>
      </x:c>
      <x:c r="J498" s="18" t="str">
        <x:f>IF($C498="","",IFERROR(VLOOKUP($C498,Matches!$A$2:$Q$200,11,FALSE),""))</x:f>
      </x:c>
      <x:c r="K498" s="18" t="str">
        <x:f>IF($C498="","",IFERROR(VLOOKUP($C498,Matches!$A$2:$Q$200,12,FALSE),""))</x:f>
      </x:c>
      <x:c r="L498" s="18" t="str">
        <x:f>IF($A498="","",IF($C498=1,"Yes",IF(OR($I498="",$A498&lt;$I498),"Yes","Late")))</x:f>
      </x:c>
      <x:c r="M498" s="66" t="str">
        <x:f>IF($A498="","",IF($L498&lt;&gt;"Yes",0,IF($E498="",0,IF($J498="",0,IF($H498="Group",IF($E498=$J498,Setup!$H$2,Setup!$H$3),IF($E498=$K498,Setup!$H$2,Setup!$H$3))))))</x:f>
      </x:c>
      <x:c r="N498" s="66" t="str">
        <x:f>IF($A498="","",IF($L498&lt;&gt;"Yes",0,IF(OR($F498="",$G498=""),0,IF(AND($F498=VLOOKUP($C498,Matches!$A$2:$Q$200,9,FALSE),$G498=VLOOKUP($C498,Matches!$A$2:$Q$200,10,FALSE)),Setup!$H$5,0))))</x:f>
      </x:c>
      <x:c r="O498" s="66" t="str">
        <x:f>IF($A498="","",$M498+$N498)</x:f>
      </x:c>
      <x:c r="P498" s="18" t="str">
        <x:f>IF($A498="","",IF($L498="Late","Late - 0 points",IF($J498="","Waiting for result",IF($O498&gt;0,"Scored",IF($O498&lt;0,"Wrong pick","No points")))))</x:f>
      </x:c>
    </x:row>
    <x:row r="499">
      <x:c r="A499" s="60" t="n">
        <x:f>'Form Responses 1'!A499</x:f>
        <x:v>0</x:v>
      </x:c>
      <x:c r="B499" s="18" t="n">
        <x:f>'Form Responses 1'!B499</x:f>
        <x:v>0</x:v>
      </x:c>
      <x:c r="C499" s="18" t="n">
        <x:f>'Form Responses 1'!C499</x:f>
        <x:v>0</x:v>
      </x:c>
      <x:c r="D499" s="18" t="n">
        <x:f>'Form Responses 1'!D499</x:f>
        <x:v>0</x:v>
      </x:c>
      <x:c r="E499" s="18" t="n">
        <x:f>'Form Responses 1'!E499</x:f>
        <x:v>0</x:v>
      </x:c>
      <x:c r="F499" s="18" t="n">
        <x:f>'Form Responses 1'!F499</x:f>
        <x:v>0</x:v>
      </x:c>
      <x:c r="G499" s="18" t="n">
        <x:f>'Form Responses 1'!G499</x:f>
        <x:v>0</x:v>
      </x:c>
      <x:c r="H499" s="18" t="str">
        <x:f>IF($C499="","",IFERROR(VLOOKUP($C499,Matches!$A$2:$Q$200,5,FALSE),"Unknown"))</x:f>
      </x:c>
      <x:c r="I499" s="60" t="str">
        <x:f>IF($C499="","",IFERROR(VLOOKUP($C499,Matches!$A$2:$Q$200,16,FALSE),""))</x:f>
      </x:c>
      <x:c r="J499" s="18" t="str">
        <x:f>IF($C499="","",IFERROR(VLOOKUP($C499,Matches!$A$2:$Q$200,11,FALSE),""))</x:f>
      </x:c>
      <x:c r="K499" s="18" t="str">
        <x:f>IF($C499="","",IFERROR(VLOOKUP($C499,Matches!$A$2:$Q$200,12,FALSE),""))</x:f>
      </x:c>
      <x:c r="L499" s="18" t="str">
        <x:f>IF($A499="","",IF($C499=1,"Yes",IF(OR($I499="",$A499&lt;$I499),"Yes","Late")))</x:f>
      </x:c>
      <x:c r="M499" s="66" t="str">
        <x:f>IF($A499="","",IF($L499&lt;&gt;"Yes",0,IF($E499="",0,IF($J499="",0,IF($H499="Group",IF($E499=$J499,Setup!$H$2,Setup!$H$3),IF($E499=$K499,Setup!$H$2,Setup!$H$3))))))</x:f>
      </x:c>
      <x:c r="N499" s="66" t="str">
        <x:f>IF($A499="","",IF($L499&lt;&gt;"Yes",0,IF(OR($F499="",$G499=""),0,IF(AND($F499=VLOOKUP($C499,Matches!$A$2:$Q$200,9,FALSE),$G499=VLOOKUP($C499,Matches!$A$2:$Q$200,10,FALSE)),Setup!$H$5,0))))</x:f>
      </x:c>
      <x:c r="O499" s="66" t="str">
        <x:f>IF($A499="","",$M499+$N499)</x:f>
      </x:c>
      <x:c r="P499" s="18" t="str">
        <x:f>IF($A499="","",IF($L499="Late","Late - 0 points",IF($J499="","Waiting for result",IF($O499&gt;0,"Scored",IF($O499&lt;0,"Wrong pick","No points")))))</x:f>
      </x:c>
    </x:row>
    <x:row r="500">
      <x:c r="A500" s="60" t="n">
        <x:f>'Form Responses 1'!A500</x:f>
        <x:v>0</x:v>
      </x:c>
      <x:c r="B500" s="18" t="n">
        <x:f>'Form Responses 1'!B500</x:f>
        <x:v>0</x:v>
      </x:c>
      <x:c r="C500" s="18" t="n">
        <x:f>'Form Responses 1'!C500</x:f>
        <x:v>0</x:v>
      </x:c>
      <x:c r="D500" s="18" t="n">
        <x:f>'Form Responses 1'!D500</x:f>
        <x:v>0</x:v>
      </x:c>
      <x:c r="E500" s="18" t="n">
        <x:f>'Form Responses 1'!E500</x:f>
        <x:v>0</x:v>
      </x:c>
      <x:c r="F500" s="18" t="n">
        <x:f>'Form Responses 1'!F500</x:f>
        <x:v>0</x:v>
      </x:c>
      <x:c r="G500" s="18" t="n">
        <x:f>'Form Responses 1'!G500</x:f>
        <x:v>0</x:v>
      </x:c>
      <x:c r="H500" s="18" t="str">
        <x:f>IF($C500="","",IFERROR(VLOOKUP($C500,Matches!$A$2:$Q$200,5,FALSE),"Unknown"))</x:f>
      </x:c>
      <x:c r="I500" s="60" t="str">
        <x:f>IF($C500="","",IFERROR(VLOOKUP($C500,Matches!$A$2:$Q$200,16,FALSE),""))</x:f>
      </x:c>
      <x:c r="J500" s="18" t="str">
        <x:f>IF($C500="","",IFERROR(VLOOKUP($C500,Matches!$A$2:$Q$200,11,FALSE),""))</x:f>
      </x:c>
      <x:c r="K500" s="18" t="str">
        <x:f>IF($C500="","",IFERROR(VLOOKUP($C500,Matches!$A$2:$Q$200,12,FALSE),""))</x:f>
      </x:c>
      <x:c r="L500" s="18" t="str">
        <x:f>IF($A500="","",IF($C500=1,"Yes",IF(OR($I500="",$A500&lt;$I500),"Yes","Late")))</x:f>
      </x:c>
      <x:c r="M500" s="66" t="str">
        <x:f>IF($A500="","",IF($L500&lt;&gt;"Yes",0,IF($E500="",0,IF($J500="",0,IF($H500="Group",IF($E500=$J500,Setup!$H$2,Setup!$H$3),IF($E500=$K500,Setup!$H$2,Setup!$H$3))))))</x:f>
      </x:c>
      <x:c r="N500" s="66" t="str">
        <x:f>IF($A500="","",IF($L500&lt;&gt;"Yes",0,IF(OR($F500="",$G500=""),0,IF(AND($F500=VLOOKUP($C500,Matches!$A$2:$Q$200,9,FALSE),$G500=VLOOKUP($C500,Matches!$A$2:$Q$200,10,FALSE)),Setup!$H$5,0))))</x:f>
      </x:c>
      <x:c r="O500" s="66" t="str">
        <x:f>IF($A500="","",$M500+$N500)</x:f>
      </x:c>
      <x:c r="P500" s="18" t="str">
        <x:f>IF($A500="","",IF($L500="Late","Late - 0 points",IF($J500="","Waiting for result",IF($O500&gt;0,"Scored",IF($O500&lt;0,"Wrong pick","No points")))))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2.5" hidden="0" customWidth="1"/>
    <x:col min="3" max="3" width="13.75" hidden="0" customWidth="1"/>
    <x:col min="4" max="4" width="13.75" hidden="0" customWidth="1"/>
    <x:col min="5" max="5" width="13.75" hidden="0" customWidth="1"/>
    <x:col min="6" max="6" width="12.5" hidden="0" customWidth="1"/>
    <x:col min="7" max="7" width="16.25" hidden="0" customWidth="1"/>
    <x:col min="8" max="8" width="12.5" hidden="0" customWidth="1"/>
    <x:col min="9" max="9" width="20" hidden="0" customWidth="1"/>
  </x:cols>
  <x:sheetData>
    <x:row r="1" ht="31.5" customHeight="1">
      <x:c r="A1" s="69" t="str">
        <x:v>Ramsey Lab World Cup Leaderboard</x:v>
      </x:c>
      <x:c r="B1" s="69" t="str">
        <x:v>Ramsey Lab World Cup Leaderboard</x:v>
      </x:c>
      <x:c r="C1" s="69" t="str">
        <x:v>Ramsey Lab World Cup Leaderboard</x:v>
      </x:c>
      <x:c r="D1" s="69" t="str">
        <x:v>Ramsey Lab World Cup Leaderboard</x:v>
      </x:c>
      <x:c r="E1" s="69" t="str">
        <x:v>Ramsey Lab World Cup Leaderboard</x:v>
      </x:c>
      <x:c r="F1" s="69" t="str">
        <x:v>Ramsey Lab World Cup Leaderboard</x:v>
      </x:c>
      <x:c r="G1" s="69" t="str">
        <x:v>Ramsey Lab World Cup Leaderboard</x:v>
      </x:c>
      <x:c r="H1" s="69" t="str">
        <x:v>Ramsey Lab World Cup Leaderboard</x:v>
      </x:c>
      <x:c r="I1" s="69" t="str">
        <x:v>Ramsey Lab World Cup Leaderboard</x:v>
      </x:c>
    </x:row>
    <x:row r="3">
      <x:c r="A3" s="55" t="str">
        <x:v>Rank</x:v>
      </x:c>
      <x:c r="B3" s="55" t="str">
        <x:v>Participant</x:v>
      </x:c>
      <x:c r="C3" s="55" t="str">
        <x:v>Total Points</x:v>
      </x:c>
      <x:c r="D3" s="55" t="str">
        <x:v>Correct Picks</x:v>
      </x:c>
      <x:c r="E3" s="55" t="str">
        <x:v>Exact Scores</x:v>
      </x:c>
      <x:c r="F3" s="55" t="str">
        <x:v>Wrong Picks</x:v>
      </x:c>
      <x:c r="G3" s="55" t="str">
        <x:v>Predictions Made</x:v>
      </x:c>
      <x:c r="H3" s="55" t="str">
        <x:v>Late Picks</x:v>
      </x:c>
      <x:c r="I3" s="55" t="str">
        <x:v>Title</x:v>
      </x:c>
    </x:row>
    <x:row r="4">
      <x:c r="A4" s="18" t="str">
        <x:f>IF($B4="","",RANK($C4,$C$4:$C$103,0)+COUNTIFS($C$4:$C4,$C4)-1)</x:f>
      </x:c>
      <x:c r="B4" s="18" t="str">
        <x:f>IFERROR(SORT(UNIQUE(FILTER(Scoring!$B$2:$B$500,Scoring!$B$2:$B$500&lt;&gt;""))),"")</x:f>
      </x:c>
      <x:c r="C4" s="18" t="str">
        <x:f>IF($B4="","",SUMIF(Scoring!$B$2:$B$500,$B4,Scoring!$O$2:$O$500))</x:f>
      </x:c>
      <x:c r="D4" s="18" t="str">
        <x:f>IF($B4="","",COUNTIFS(Scoring!$B$2:$B$500,$B4,Scoring!$M$2:$M$500,Setup!$H$2))</x:f>
      </x:c>
      <x:c r="E4" s="18" t="str">
        <x:f>IF($B4="","",COUNTIFS(Scoring!$B$2:$B$500,$B4,Scoring!$N$2:$N$500,Setup!$H$5))</x:f>
      </x:c>
      <x:c r="F4" s="18" t="str">
        <x:f>IF($B4="","",COUNTIFS(Scoring!$B$2:$B$500,$B4,Scoring!$M$2:$M$500,Setup!$H$3))</x:f>
      </x:c>
      <x:c r="G4" s="18" t="str">
        <x:f>IF($B4="","",COUNTIFS(Scoring!$B$2:$B$500,$B4,Scoring!$L$2:$L$500,"Yes"))</x:f>
      </x:c>
      <x:c r="H4" s="18" t="str">
        <x:f>IF($B4="","",COUNTIFS(Scoring!$B$2:$B$500,$B4,Scoring!$L$2:$L$500,"Late"))</x:f>
      </x:c>
      <x:c r="I4" s="18" t="str">
        <x:f>IF($B4="","",IF(A4=1,"Current Champion",IF(E4=MAX($E$4:$E$103),"Score Sniper",IF(F4=MAX($F$4:$F$103),"VAR Victim","Contender"))))</x:f>
      </x:c>
    </x:row>
    <x:row r="5">
      <x:c r="A5" s="18" t="str">
        <x:f>IF($B5="","",RANK($C5,$C$4:$C$103,0)+COUNTIFS($C$4:$C5,$C5)-1)</x:f>
      </x:c>
      <x:c r="B5" s="18"/>
      <x:c r="C5" s="18" t="str">
        <x:f>IF($B5="","",SUMIF(Scoring!$B$2:$B$500,$B5,Scoring!$O$2:$O$500))</x:f>
      </x:c>
      <x:c r="D5" s="18" t="str">
        <x:f>IF($B5="","",COUNTIFS(Scoring!$B$2:$B$500,$B5,Scoring!$M$2:$M$500,Setup!$H$2))</x:f>
      </x:c>
      <x:c r="E5" s="18" t="str">
        <x:f>IF($B5="","",COUNTIFS(Scoring!$B$2:$B$500,$B5,Scoring!$N$2:$N$500,Setup!$H$5))</x:f>
      </x:c>
      <x:c r="F5" s="18" t="str">
        <x:f>IF($B5="","",COUNTIFS(Scoring!$B$2:$B$500,$B5,Scoring!$M$2:$M$500,Setup!$H$3))</x:f>
      </x:c>
      <x:c r="G5" s="18" t="str">
        <x:f>IF($B5="","",COUNTIFS(Scoring!$B$2:$B$500,$B5,Scoring!$L$2:$L$500,"Yes"))</x:f>
      </x:c>
      <x:c r="H5" s="18" t="str">
        <x:f>IF($B5="","",COUNTIFS(Scoring!$B$2:$B$500,$B5,Scoring!$L$2:$L$500,"Late"))</x:f>
      </x:c>
      <x:c r="I5" s="18" t="str">
        <x:f>IF($B5="","",IF(A5=1,"Current Champion",IF(E5=MAX($E$4:$E$103),"Score Sniper",IF(F5=MAX($F$4:$F$103),"VAR Victim","Contender"))))</x:f>
      </x:c>
    </x:row>
    <x:row r="6">
      <x:c r="A6" s="18" t="str">
        <x:f>IF($B6="","",RANK($C6,$C$4:$C$103,0)+COUNTIFS($C$4:$C6,$C6)-1)</x:f>
      </x:c>
      <x:c r="B6" s="18"/>
      <x:c r="C6" s="18" t="str">
        <x:f>IF($B6="","",SUMIF(Scoring!$B$2:$B$500,$B6,Scoring!$O$2:$O$500))</x:f>
      </x:c>
      <x:c r="D6" s="18" t="str">
        <x:f>IF($B6="","",COUNTIFS(Scoring!$B$2:$B$500,$B6,Scoring!$M$2:$M$500,Setup!$H$2))</x:f>
      </x:c>
      <x:c r="E6" s="18" t="str">
        <x:f>IF($B6="","",COUNTIFS(Scoring!$B$2:$B$500,$B6,Scoring!$N$2:$N$500,Setup!$H$5))</x:f>
      </x:c>
      <x:c r="F6" s="18" t="str">
        <x:f>IF($B6="","",COUNTIFS(Scoring!$B$2:$B$500,$B6,Scoring!$M$2:$M$500,Setup!$H$3))</x:f>
      </x:c>
      <x:c r="G6" s="18" t="str">
        <x:f>IF($B6="","",COUNTIFS(Scoring!$B$2:$B$500,$B6,Scoring!$L$2:$L$500,"Yes"))</x:f>
      </x:c>
      <x:c r="H6" s="18" t="str">
        <x:f>IF($B6="","",COUNTIFS(Scoring!$B$2:$B$500,$B6,Scoring!$L$2:$L$500,"Late"))</x:f>
      </x:c>
      <x:c r="I6" s="18" t="str">
        <x:f>IF($B6="","",IF(A6=1,"Current Champion",IF(E6=MAX($E$4:$E$103),"Score Sniper",IF(F6=MAX($F$4:$F$103),"VAR Victim","Contender"))))</x:f>
      </x:c>
    </x:row>
    <x:row r="7">
      <x:c r="A7" s="18" t="str">
        <x:f>IF($B7="","",RANK($C7,$C$4:$C$103,0)+COUNTIFS($C$4:$C7,$C7)-1)</x:f>
      </x:c>
      <x:c r="B7" s="18"/>
      <x:c r="C7" s="18" t="str">
        <x:f>IF($B7="","",SUMIF(Scoring!$B$2:$B$500,$B7,Scoring!$O$2:$O$500))</x:f>
      </x:c>
      <x:c r="D7" s="18" t="str">
        <x:f>IF($B7="","",COUNTIFS(Scoring!$B$2:$B$500,$B7,Scoring!$M$2:$M$500,Setup!$H$2))</x:f>
      </x:c>
      <x:c r="E7" s="18" t="str">
        <x:f>IF($B7="","",COUNTIFS(Scoring!$B$2:$B$500,$B7,Scoring!$N$2:$N$500,Setup!$H$5))</x:f>
      </x:c>
      <x:c r="F7" s="18" t="str">
        <x:f>IF($B7="","",COUNTIFS(Scoring!$B$2:$B$500,$B7,Scoring!$M$2:$M$500,Setup!$H$3))</x:f>
      </x:c>
      <x:c r="G7" s="18" t="str">
        <x:f>IF($B7="","",COUNTIFS(Scoring!$B$2:$B$500,$B7,Scoring!$L$2:$L$500,"Yes"))</x:f>
      </x:c>
      <x:c r="H7" s="18" t="str">
        <x:f>IF($B7="","",COUNTIFS(Scoring!$B$2:$B$500,$B7,Scoring!$L$2:$L$500,"Late"))</x:f>
      </x:c>
      <x:c r="I7" s="18" t="str">
        <x:f>IF($B7="","",IF(A7=1,"Current Champion",IF(E7=MAX($E$4:$E$103),"Score Sniper",IF(F7=MAX($F$4:$F$103),"VAR Victim","Contender"))))</x:f>
      </x:c>
    </x:row>
    <x:row r="8">
      <x:c r="A8" s="18" t="str">
        <x:f>IF($B8="","",RANK($C8,$C$4:$C$103,0)+COUNTIFS($C$4:$C8,$C8)-1)</x:f>
      </x:c>
      <x:c r="B8" s="18"/>
      <x:c r="C8" s="18" t="str">
        <x:f>IF($B8="","",SUMIF(Scoring!$B$2:$B$500,$B8,Scoring!$O$2:$O$500))</x:f>
      </x:c>
      <x:c r="D8" s="18" t="str">
        <x:f>IF($B8="","",COUNTIFS(Scoring!$B$2:$B$500,$B8,Scoring!$M$2:$M$500,Setup!$H$2))</x:f>
      </x:c>
      <x:c r="E8" s="18" t="str">
        <x:f>IF($B8="","",COUNTIFS(Scoring!$B$2:$B$500,$B8,Scoring!$N$2:$N$500,Setup!$H$5))</x:f>
      </x:c>
      <x:c r="F8" s="18" t="str">
        <x:f>IF($B8="","",COUNTIFS(Scoring!$B$2:$B$500,$B8,Scoring!$M$2:$M$500,Setup!$H$3))</x:f>
      </x:c>
      <x:c r="G8" s="18" t="str">
        <x:f>IF($B8="","",COUNTIFS(Scoring!$B$2:$B$500,$B8,Scoring!$L$2:$L$500,"Yes"))</x:f>
      </x:c>
      <x:c r="H8" s="18" t="str">
        <x:f>IF($B8="","",COUNTIFS(Scoring!$B$2:$B$500,$B8,Scoring!$L$2:$L$500,"Late"))</x:f>
      </x:c>
      <x:c r="I8" s="18" t="str">
        <x:f>IF($B8="","",IF(A8=1,"Current Champion",IF(E8=MAX($E$4:$E$103),"Score Sniper",IF(F8=MAX($F$4:$F$103),"VAR Victim","Contender"))))</x:f>
      </x:c>
    </x:row>
    <x:row r="9">
      <x:c r="A9" s="18" t="str">
        <x:f>IF($B9="","",RANK($C9,$C$4:$C$103,0)+COUNTIFS($C$4:$C9,$C9)-1)</x:f>
      </x:c>
      <x:c r="B9" s="18"/>
      <x:c r="C9" s="18" t="str">
        <x:f>IF($B9="","",SUMIF(Scoring!$B$2:$B$500,$B9,Scoring!$O$2:$O$500))</x:f>
      </x:c>
      <x:c r="D9" s="18" t="str">
        <x:f>IF($B9="","",COUNTIFS(Scoring!$B$2:$B$500,$B9,Scoring!$M$2:$M$500,Setup!$H$2))</x:f>
      </x:c>
      <x:c r="E9" s="18" t="str">
        <x:f>IF($B9="","",COUNTIFS(Scoring!$B$2:$B$500,$B9,Scoring!$N$2:$N$500,Setup!$H$5))</x:f>
      </x:c>
      <x:c r="F9" s="18" t="str">
        <x:f>IF($B9="","",COUNTIFS(Scoring!$B$2:$B$500,$B9,Scoring!$M$2:$M$500,Setup!$H$3))</x:f>
      </x:c>
      <x:c r="G9" s="18" t="str">
        <x:f>IF($B9="","",COUNTIFS(Scoring!$B$2:$B$500,$B9,Scoring!$L$2:$L$500,"Yes"))</x:f>
      </x:c>
      <x:c r="H9" s="18" t="str">
        <x:f>IF($B9="","",COUNTIFS(Scoring!$B$2:$B$500,$B9,Scoring!$L$2:$L$500,"Late"))</x:f>
      </x:c>
      <x:c r="I9" s="18" t="str">
        <x:f>IF($B9="","",IF(A9=1,"Current Champion",IF(E9=MAX($E$4:$E$103),"Score Sniper",IF(F9=MAX($F$4:$F$103),"VAR Victim","Contender"))))</x:f>
      </x:c>
    </x:row>
    <x:row r="10">
      <x:c r="A10" s="18" t="str">
        <x:f>IF($B10="","",RANK($C10,$C$4:$C$103,0)+COUNTIFS($C$4:$C10,$C10)-1)</x:f>
      </x:c>
      <x:c r="B10" s="18"/>
      <x:c r="C10" s="18" t="str">
        <x:f>IF($B10="","",SUMIF(Scoring!$B$2:$B$500,$B10,Scoring!$O$2:$O$500))</x:f>
      </x:c>
      <x:c r="D10" s="18" t="str">
        <x:f>IF($B10="","",COUNTIFS(Scoring!$B$2:$B$500,$B10,Scoring!$M$2:$M$500,Setup!$H$2))</x:f>
      </x:c>
      <x:c r="E10" s="18" t="str">
        <x:f>IF($B10="","",COUNTIFS(Scoring!$B$2:$B$500,$B10,Scoring!$N$2:$N$500,Setup!$H$5))</x:f>
      </x:c>
      <x:c r="F10" s="18" t="str">
        <x:f>IF($B10="","",COUNTIFS(Scoring!$B$2:$B$500,$B10,Scoring!$M$2:$M$500,Setup!$H$3))</x:f>
      </x:c>
      <x:c r="G10" s="18" t="str">
        <x:f>IF($B10="","",COUNTIFS(Scoring!$B$2:$B$500,$B10,Scoring!$L$2:$L$500,"Yes"))</x:f>
      </x:c>
      <x:c r="H10" s="18" t="str">
        <x:f>IF($B10="","",COUNTIFS(Scoring!$B$2:$B$500,$B10,Scoring!$L$2:$L$500,"Late"))</x:f>
      </x:c>
      <x:c r="I10" s="18" t="str">
        <x:f>IF($B10="","",IF(A10=1,"Current Champion",IF(E10=MAX($E$4:$E$103),"Score Sniper",IF(F10=MAX($F$4:$F$103),"VAR Victim","Contender"))))</x:f>
      </x:c>
    </x:row>
    <x:row r="11">
      <x:c r="A11" s="18" t="str">
        <x:f>IF($B11="","",RANK($C11,$C$4:$C$103,0)+COUNTIFS($C$4:$C11,$C11)-1)</x:f>
      </x:c>
      <x:c r="B11" s="18"/>
      <x:c r="C11" s="18" t="str">
        <x:f>IF($B11="","",SUMIF(Scoring!$B$2:$B$500,$B11,Scoring!$O$2:$O$500))</x:f>
      </x:c>
      <x:c r="D11" s="18" t="str">
        <x:f>IF($B11="","",COUNTIFS(Scoring!$B$2:$B$500,$B11,Scoring!$M$2:$M$500,Setup!$H$2))</x:f>
      </x:c>
      <x:c r="E11" s="18" t="str">
        <x:f>IF($B11="","",COUNTIFS(Scoring!$B$2:$B$500,$B11,Scoring!$N$2:$N$500,Setup!$H$5))</x:f>
      </x:c>
      <x:c r="F11" s="18" t="str">
        <x:f>IF($B11="","",COUNTIFS(Scoring!$B$2:$B$500,$B11,Scoring!$M$2:$M$500,Setup!$H$3))</x:f>
      </x:c>
      <x:c r="G11" s="18" t="str">
        <x:f>IF($B11="","",COUNTIFS(Scoring!$B$2:$B$500,$B11,Scoring!$L$2:$L$500,"Yes"))</x:f>
      </x:c>
      <x:c r="H11" s="18" t="str">
        <x:f>IF($B11="","",COUNTIFS(Scoring!$B$2:$B$500,$B11,Scoring!$L$2:$L$500,"Late"))</x:f>
      </x:c>
      <x:c r="I11" s="18" t="str">
        <x:f>IF($B11="","",IF(A11=1,"Current Champion",IF(E11=MAX($E$4:$E$103),"Score Sniper",IF(F11=MAX($F$4:$F$103),"VAR Victim","Contender"))))</x:f>
      </x:c>
    </x:row>
    <x:row r="12">
      <x:c r="A12" s="18" t="str">
        <x:f>IF($B12="","",RANK($C12,$C$4:$C$103,0)+COUNTIFS($C$4:$C12,$C12)-1)</x:f>
      </x:c>
      <x:c r="B12" s="18"/>
      <x:c r="C12" s="18" t="str">
        <x:f>IF($B12="","",SUMIF(Scoring!$B$2:$B$500,$B12,Scoring!$O$2:$O$500))</x:f>
      </x:c>
      <x:c r="D12" s="18" t="str">
        <x:f>IF($B12="","",COUNTIFS(Scoring!$B$2:$B$500,$B12,Scoring!$M$2:$M$500,Setup!$H$2))</x:f>
      </x:c>
      <x:c r="E12" s="18" t="str">
        <x:f>IF($B12="","",COUNTIFS(Scoring!$B$2:$B$500,$B12,Scoring!$N$2:$N$500,Setup!$H$5))</x:f>
      </x:c>
      <x:c r="F12" s="18" t="str">
        <x:f>IF($B12="","",COUNTIFS(Scoring!$B$2:$B$500,$B12,Scoring!$M$2:$M$500,Setup!$H$3))</x:f>
      </x:c>
      <x:c r="G12" s="18" t="str">
        <x:f>IF($B12="","",COUNTIFS(Scoring!$B$2:$B$500,$B12,Scoring!$L$2:$L$500,"Yes"))</x:f>
      </x:c>
      <x:c r="H12" s="18" t="str">
        <x:f>IF($B12="","",COUNTIFS(Scoring!$B$2:$B$500,$B12,Scoring!$L$2:$L$500,"Late"))</x:f>
      </x:c>
      <x:c r="I12" s="18" t="str">
        <x:f>IF($B12="","",IF(A12=1,"Current Champion",IF(E12=MAX($E$4:$E$103),"Score Sniper",IF(F12=MAX($F$4:$F$103),"VAR Victim","Contender"))))</x:f>
      </x:c>
    </x:row>
    <x:row r="13">
      <x:c r="A13" s="18" t="str">
        <x:f>IF($B13="","",RANK($C13,$C$4:$C$103,0)+COUNTIFS($C$4:$C13,$C13)-1)</x:f>
      </x:c>
      <x:c r="B13" s="18"/>
      <x:c r="C13" s="18" t="str">
        <x:f>IF($B13="","",SUMIF(Scoring!$B$2:$B$500,$B13,Scoring!$O$2:$O$500))</x:f>
      </x:c>
      <x:c r="D13" s="18" t="str">
        <x:f>IF($B13="","",COUNTIFS(Scoring!$B$2:$B$500,$B13,Scoring!$M$2:$M$500,Setup!$H$2))</x:f>
      </x:c>
      <x:c r="E13" s="18" t="str">
        <x:f>IF($B13="","",COUNTIFS(Scoring!$B$2:$B$500,$B13,Scoring!$N$2:$N$500,Setup!$H$5))</x:f>
      </x:c>
      <x:c r="F13" s="18" t="str">
        <x:f>IF($B13="","",COUNTIFS(Scoring!$B$2:$B$500,$B13,Scoring!$M$2:$M$500,Setup!$H$3))</x:f>
      </x:c>
      <x:c r="G13" s="18" t="str">
        <x:f>IF($B13="","",COUNTIFS(Scoring!$B$2:$B$500,$B13,Scoring!$L$2:$L$500,"Yes"))</x:f>
      </x:c>
      <x:c r="H13" s="18" t="str">
        <x:f>IF($B13="","",COUNTIFS(Scoring!$B$2:$B$500,$B13,Scoring!$L$2:$L$500,"Late"))</x:f>
      </x:c>
      <x:c r="I13" s="18" t="str">
        <x:f>IF($B13="","",IF(A13=1,"Current Champion",IF(E13=MAX($E$4:$E$103),"Score Sniper",IF(F13=MAX($F$4:$F$103),"VAR Victim","Contender"))))</x:f>
      </x:c>
    </x:row>
    <x:row r="14">
      <x:c r="A14" s="18" t="str">
        <x:f>IF($B14="","",RANK($C14,$C$4:$C$103,0)+COUNTIFS($C$4:$C14,$C14)-1)</x:f>
      </x:c>
      <x:c r="B14" s="18"/>
      <x:c r="C14" s="18" t="str">
        <x:f>IF($B14="","",SUMIF(Scoring!$B$2:$B$500,$B14,Scoring!$O$2:$O$500))</x:f>
      </x:c>
      <x:c r="D14" s="18" t="str">
        <x:f>IF($B14="","",COUNTIFS(Scoring!$B$2:$B$500,$B14,Scoring!$M$2:$M$500,Setup!$H$2))</x:f>
      </x:c>
      <x:c r="E14" s="18" t="str">
        <x:f>IF($B14="","",COUNTIFS(Scoring!$B$2:$B$500,$B14,Scoring!$N$2:$N$500,Setup!$H$5))</x:f>
      </x:c>
      <x:c r="F14" s="18" t="str">
        <x:f>IF($B14="","",COUNTIFS(Scoring!$B$2:$B$500,$B14,Scoring!$M$2:$M$500,Setup!$H$3))</x:f>
      </x:c>
      <x:c r="G14" s="18" t="str">
        <x:f>IF($B14="","",COUNTIFS(Scoring!$B$2:$B$500,$B14,Scoring!$L$2:$L$500,"Yes"))</x:f>
      </x:c>
      <x:c r="H14" s="18" t="str">
        <x:f>IF($B14="","",COUNTIFS(Scoring!$B$2:$B$500,$B14,Scoring!$L$2:$L$500,"Late"))</x:f>
      </x:c>
      <x:c r="I14" s="18" t="str">
        <x:f>IF($B14="","",IF(A14=1,"Current Champion",IF(E14=MAX($E$4:$E$103),"Score Sniper",IF(F14=MAX($F$4:$F$103),"VAR Victim","Contender"))))</x:f>
      </x:c>
    </x:row>
    <x:row r="15">
      <x:c r="A15" s="18" t="str">
        <x:f>IF($B15="","",RANK($C15,$C$4:$C$103,0)+COUNTIFS($C$4:$C15,$C15)-1)</x:f>
      </x:c>
      <x:c r="B15" s="18"/>
      <x:c r="C15" s="18" t="str">
        <x:f>IF($B15="","",SUMIF(Scoring!$B$2:$B$500,$B15,Scoring!$O$2:$O$500))</x:f>
      </x:c>
      <x:c r="D15" s="18" t="str">
        <x:f>IF($B15="","",COUNTIFS(Scoring!$B$2:$B$500,$B15,Scoring!$M$2:$M$500,Setup!$H$2))</x:f>
      </x:c>
      <x:c r="E15" s="18" t="str">
        <x:f>IF($B15="","",COUNTIFS(Scoring!$B$2:$B$500,$B15,Scoring!$N$2:$N$500,Setup!$H$5))</x:f>
      </x:c>
      <x:c r="F15" s="18" t="str">
        <x:f>IF($B15="","",COUNTIFS(Scoring!$B$2:$B$500,$B15,Scoring!$M$2:$M$500,Setup!$H$3))</x:f>
      </x:c>
      <x:c r="G15" s="18" t="str">
        <x:f>IF($B15="","",COUNTIFS(Scoring!$B$2:$B$500,$B15,Scoring!$L$2:$L$500,"Yes"))</x:f>
      </x:c>
      <x:c r="H15" s="18" t="str">
        <x:f>IF($B15="","",COUNTIFS(Scoring!$B$2:$B$500,$B15,Scoring!$L$2:$L$500,"Late"))</x:f>
      </x:c>
      <x:c r="I15" s="18" t="str">
        <x:f>IF($B15="","",IF(A15=1,"Current Champion",IF(E15=MAX($E$4:$E$103),"Score Sniper",IF(F15=MAX($F$4:$F$103),"VAR Victim","Contender"))))</x:f>
      </x:c>
    </x:row>
    <x:row r="16">
      <x:c r="A16" s="18" t="str">
        <x:f>IF($B16="","",RANK($C16,$C$4:$C$103,0)+COUNTIFS($C$4:$C16,$C16)-1)</x:f>
      </x:c>
      <x:c r="B16" s="18"/>
      <x:c r="C16" s="18" t="str">
        <x:f>IF($B16="","",SUMIF(Scoring!$B$2:$B$500,$B16,Scoring!$O$2:$O$500))</x:f>
      </x:c>
      <x:c r="D16" s="18" t="str">
        <x:f>IF($B16="","",COUNTIFS(Scoring!$B$2:$B$500,$B16,Scoring!$M$2:$M$500,Setup!$H$2))</x:f>
      </x:c>
      <x:c r="E16" s="18" t="str">
        <x:f>IF($B16="","",COUNTIFS(Scoring!$B$2:$B$500,$B16,Scoring!$N$2:$N$500,Setup!$H$5))</x:f>
      </x:c>
      <x:c r="F16" s="18" t="str">
        <x:f>IF($B16="","",COUNTIFS(Scoring!$B$2:$B$500,$B16,Scoring!$M$2:$M$500,Setup!$H$3))</x:f>
      </x:c>
      <x:c r="G16" s="18" t="str">
        <x:f>IF($B16="","",COUNTIFS(Scoring!$B$2:$B$500,$B16,Scoring!$L$2:$L$500,"Yes"))</x:f>
      </x:c>
      <x:c r="H16" s="18" t="str">
        <x:f>IF($B16="","",COUNTIFS(Scoring!$B$2:$B$500,$B16,Scoring!$L$2:$L$500,"Late"))</x:f>
      </x:c>
      <x:c r="I16" s="18" t="str">
        <x:f>IF($B16="","",IF(A16=1,"Current Champion",IF(E16=MAX($E$4:$E$103),"Score Sniper",IF(F16=MAX($F$4:$F$103),"VAR Victim","Contender"))))</x:f>
      </x:c>
    </x:row>
    <x:row r="17">
      <x:c r="A17" s="18" t="str">
        <x:f>IF($B17="","",RANK($C17,$C$4:$C$103,0)+COUNTIFS($C$4:$C17,$C17)-1)</x:f>
      </x:c>
      <x:c r="B17" s="18"/>
      <x:c r="C17" s="18" t="str">
        <x:f>IF($B17="","",SUMIF(Scoring!$B$2:$B$500,$B17,Scoring!$O$2:$O$500))</x:f>
      </x:c>
      <x:c r="D17" s="18" t="str">
        <x:f>IF($B17="","",COUNTIFS(Scoring!$B$2:$B$500,$B17,Scoring!$M$2:$M$500,Setup!$H$2))</x:f>
      </x:c>
      <x:c r="E17" s="18" t="str">
        <x:f>IF($B17="","",COUNTIFS(Scoring!$B$2:$B$500,$B17,Scoring!$N$2:$N$500,Setup!$H$5))</x:f>
      </x:c>
      <x:c r="F17" s="18" t="str">
        <x:f>IF($B17="","",COUNTIFS(Scoring!$B$2:$B$500,$B17,Scoring!$M$2:$M$500,Setup!$H$3))</x:f>
      </x:c>
      <x:c r="G17" s="18" t="str">
        <x:f>IF($B17="","",COUNTIFS(Scoring!$B$2:$B$500,$B17,Scoring!$L$2:$L$500,"Yes"))</x:f>
      </x:c>
      <x:c r="H17" s="18" t="str">
        <x:f>IF($B17="","",COUNTIFS(Scoring!$B$2:$B$500,$B17,Scoring!$L$2:$L$500,"Late"))</x:f>
      </x:c>
      <x:c r="I17" s="18" t="str">
        <x:f>IF($B17="","",IF(A17=1,"Current Champion",IF(E17=MAX($E$4:$E$103),"Score Sniper",IF(F17=MAX($F$4:$F$103),"VAR Victim","Contender"))))</x:f>
      </x:c>
    </x:row>
    <x:row r="18">
      <x:c r="A18" s="18" t="str">
        <x:f>IF($B18="","",RANK($C18,$C$4:$C$103,0)+COUNTIFS($C$4:$C18,$C18)-1)</x:f>
      </x:c>
      <x:c r="B18" s="18"/>
      <x:c r="C18" s="18" t="str">
        <x:f>IF($B18="","",SUMIF(Scoring!$B$2:$B$500,$B18,Scoring!$O$2:$O$500))</x:f>
      </x:c>
      <x:c r="D18" s="18" t="str">
        <x:f>IF($B18="","",COUNTIFS(Scoring!$B$2:$B$500,$B18,Scoring!$M$2:$M$500,Setup!$H$2))</x:f>
      </x:c>
      <x:c r="E18" s="18" t="str">
        <x:f>IF($B18="","",COUNTIFS(Scoring!$B$2:$B$500,$B18,Scoring!$N$2:$N$500,Setup!$H$5))</x:f>
      </x:c>
      <x:c r="F18" s="18" t="str">
        <x:f>IF($B18="","",COUNTIFS(Scoring!$B$2:$B$500,$B18,Scoring!$M$2:$M$500,Setup!$H$3))</x:f>
      </x:c>
      <x:c r="G18" s="18" t="str">
        <x:f>IF($B18="","",COUNTIFS(Scoring!$B$2:$B$500,$B18,Scoring!$L$2:$L$500,"Yes"))</x:f>
      </x:c>
      <x:c r="H18" s="18" t="str">
        <x:f>IF($B18="","",COUNTIFS(Scoring!$B$2:$B$500,$B18,Scoring!$L$2:$L$500,"Late"))</x:f>
      </x:c>
      <x:c r="I18" s="18" t="str">
        <x:f>IF($B18="","",IF(A18=1,"Current Champion",IF(E18=MAX($E$4:$E$103),"Score Sniper",IF(F18=MAX($F$4:$F$103),"VAR Victim","Contender"))))</x:f>
      </x:c>
    </x:row>
    <x:row r="19">
      <x:c r="A19" s="18" t="str">
        <x:f>IF($B19="","",RANK($C19,$C$4:$C$103,0)+COUNTIFS($C$4:$C19,$C19)-1)</x:f>
      </x:c>
      <x:c r="B19" s="18"/>
      <x:c r="C19" s="18" t="str">
        <x:f>IF($B19="","",SUMIF(Scoring!$B$2:$B$500,$B19,Scoring!$O$2:$O$500))</x:f>
      </x:c>
      <x:c r="D19" s="18" t="str">
        <x:f>IF($B19="","",COUNTIFS(Scoring!$B$2:$B$500,$B19,Scoring!$M$2:$M$500,Setup!$H$2))</x:f>
      </x:c>
      <x:c r="E19" s="18" t="str">
        <x:f>IF($B19="","",COUNTIFS(Scoring!$B$2:$B$500,$B19,Scoring!$N$2:$N$500,Setup!$H$5))</x:f>
      </x:c>
      <x:c r="F19" s="18" t="str">
        <x:f>IF($B19="","",COUNTIFS(Scoring!$B$2:$B$500,$B19,Scoring!$M$2:$M$500,Setup!$H$3))</x:f>
      </x:c>
      <x:c r="G19" s="18" t="str">
        <x:f>IF($B19="","",COUNTIFS(Scoring!$B$2:$B$500,$B19,Scoring!$L$2:$L$500,"Yes"))</x:f>
      </x:c>
      <x:c r="H19" s="18" t="str">
        <x:f>IF($B19="","",COUNTIFS(Scoring!$B$2:$B$500,$B19,Scoring!$L$2:$L$500,"Late"))</x:f>
      </x:c>
      <x:c r="I19" s="18" t="str">
        <x:f>IF($B19="","",IF(A19=1,"Current Champion",IF(E19=MAX($E$4:$E$103),"Score Sniper",IF(F19=MAX($F$4:$F$103),"VAR Victim","Contender"))))</x:f>
      </x:c>
    </x:row>
    <x:row r="20">
      <x:c r="A20" s="18" t="str">
        <x:f>IF($B20="","",RANK($C20,$C$4:$C$103,0)+COUNTIFS($C$4:$C20,$C20)-1)</x:f>
      </x:c>
      <x:c r="B20" s="18"/>
      <x:c r="C20" s="18" t="str">
        <x:f>IF($B20="","",SUMIF(Scoring!$B$2:$B$500,$B20,Scoring!$O$2:$O$500))</x:f>
      </x:c>
      <x:c r="D20" s="18" t="str">
        <x:f>IF($B20="","",COUNTIFS(Scoring!$B$2:$B$500,$B20,Scoring!$M$2:$M$500,Setup!$H$2))</x:f>
      </x:c>
      <x:c r="E20" s="18" t="str">
        <x:f>IF($B20="","",COUNTIFS(Scoring!$B$2:$B$500,$B20,Scoring!$N$2:$N$500,Setup!$H$5))</x:f>
      </x:c>
      <x:c r="F20" s="18" t="str">
        <x:f>IF($B20="","",COUNTIFS(Scoring!$B$2:$B$500,$B20,Scoring!$M$2:$M$500,Setup!$H$3))</x:f>
      </x:c>
      <x:c r="G20" s="18" t="str">
        <x:f>IF($B20="","",COUNTIFS(Scoring!$B$2:$B$500,$B20,Scoring!$L$2:$L$500,"Yes"))</x:f>
      </x:c>
      <x:c r="H20" s="18" t="str">
        <x:f>IF($B20="","",COUNTIFS(Scoring!$B$2:$B$500,$B20,Scoring!$L$2:$L$500,"Late"))</x:f>
      </x:c>
      <x:c r="I20" s="18" t="str">
        <x:f>IF($B20="","",IF(A20=1,"Current Champion",IF(E20=MAX($E$4:$E$103),"Score Sniper",IF(F20=MAX($F$4:$F$103),"VAR Victim","Contender"))))</x:f>
      </x:c>
    </x:row>
    <x:row r="21">
      <x:c r="A21" s="18" t="str">
        <x:f>IF($B21="","",RANK($C21,$C$4:$C$103,0)+COUNTIFS($C$4:$C21,$C21)-1)</x:f>
      </x:c>
      <x:c r="B21" s="18"/>
      <x:c r="C21" s="18" t="str">
        <x:f>IF($B21="","",SUMIF(Scoring!$B$2:$B$500,$B21,Scoring!$O$2:$O$500))</x:f>
      </x:c>
      <x:c r="D21" s="18" t="str">
        <x:f>IF($B21="","",COUNTIFS(Scoring!$B$2:$B$500,$B21,Scoring!$M$2:$M$500,Setup!$H$2))</x:f>
      </x:c>
      <x:c r="E21" s="18" t="str">
        <x:f>IF($B21="","",COUNTIFS(Scoring!$B$2:$B$500,$B21,Scoring!$N$2:$N$500,Setup!$H$5))</x:f>
      </x:c>
      <x:c r="F21" s="18" t="str">
        <x:f>IF($B21="","",COUNTIFS(Scoring!$B$2:$B$500,$B21,Scoring!$M$2:$M$500,Setup!$H$3))</x:f>
      </x:c>
      <x:c r="G21" s="18" t="str">
        <x:f>IF($B21="","",COUNTIFS(Scoring!$B$2:$B$500,$B21,Scoring!$L$2:$L$500,"Yes"))</x:f>
      </x:c>
      <x:c r="H21" s="18" t="str">
        <x:f>IF($B21="","",COUNTIFS(Scoring!$B$2:$B$500,$B21,Scoring!$L$2:$L$500,"Late"))</x:f>
      </x:c>
      <x:c r="I21" s="18" t="str">
        <x:f>IF($B21="","",IF(A21=1,"Current Champion",IF(E21=MAX($E$4:$E$103),"Score Sniper",IF(F21=MAX($F$4:$F$103),"VAR Victim","Contender"))))</x:f>
      </x:c>
    </x:row>
    <x:row r="22">
      <x:c r="A22" s="18" t="str">
        <x:f>IF($B22="","",RANK($C22,$C$4:$C$103,0)+COUNTIFS($C$4:$C22,$C22)-1)</x:f>
      </x:c>
      <x:c r="B22" s="18"/>
      <x:c r="C22" s="18" t="str">
        <x:f>IF($B22="","",SUMIF(Scoring!$B$2:$B$500,$B22,Scoring!$O$2:$O$500))</x:f>
      </x:c>
      <x:c r="D22" s="18" t="str">
        <x:f>IF($B22="","",COUNTIFS(Scoring!$B$2:$B$500,$B22,Scoring!$M$2:$M$500,Setup!$H$2))</x:f>
      </x:c>
      <x:c r="E22" s="18" t="str">
        <x:f>IF($B22="","",COUNTIFS(Scoring!$B$2:$B$500,$B22,Scoring!$N$2:$N$500,Setup!$H$5))</x:f>
      </x:c>
      <x:c r="F22" s="18" t="str">
        <x:f>IF($B22="","",COUNTIFS(Scoring!$B$2:$B$500,$B22,Scoring!$M$2:$M$500,Setup!$H$3))</x:f>
      </x:c>
      <x:c r="G22" s="18" t="str">
        <x:f>IF($B22="","",COUNTIFS(Scoring!$B$2:$B$500,$B22,Scoring!$L$2:$L$500,"Yes"))</x:f>
      </x:c>
      <x:c r="H22" s="18" t="str">
        <x:f>IF($B22="","",COUNTIFS(Scoring!$B$2:$B$500,$B22,Scoring!$L$2:$L$500,"Late"))</x:f>
      </x:c>
      <x:c r="I22" s="18" t="str">
        <x:f>IF($B22="","",IF(A22=1,"Current Champion",IF(E22=MAX($E$4:$E$103),"Score Sniper",IF(F22=MAX($F$4:$F$103),"VAR Victim","Contender"))))</x:f>
      </x:c>
    </x:row>
    <x:row r="23">
      <x:c r="A23" s="18" t="str">
        <x:f>IF($B23="","",RANK($C23,$C$4:$C$103,0)+COUNTIFS($C$4:$C23,$C23)-1)</x:f>
      </x:c>
      <x:c r="B23" s="18"/>
      <x:c r="C23" s="18" t="str">
        <x:f>IF($B23="","",SUMIF(Scoring!$B$2:$B$500,$B23,Scoring!$O$2:$O$500))</x:f>
      </x:c>
      <x:c r="D23" s="18" t="str">
        <x:f>IF($B23="","",COUNTIFS(Scoring!$B$2:$B$500,$B23,Scoring!$M$2:$M$500,Setup!$H$2))</x:f>
      </x:c>
      <x:c r="E23" s="18" t="str">
        <x:f>IF($B23="","",COUNTIFS(Scoring!$B$2:$B$500,$B23,Scoring!$N$2:$N$500,Setup!$H$5))</x:f>
      </x:c>
      <x:c r="F23" s="18" t="str">
        <x:f>IF($B23="","",COUNTIFS(Scoring!$B$2:$B$500,$B23,Scoring!$M$2:$M$500,Setup!$H$3))</x:f>
      </x:c>
      <x:c r="G23" s="18" t="str">
        <x:f>IF($B23="","",COUNTIFS(Scoring!$B$2:$B$500,$B23,Scoring!$L$2:$L$500,"Yes"))</x:f>
      </x:c>
      <x:c r="H23" s="18" t="str">
        <x:f>IF($B23="","",COUNTIFS(Scoring!$B$2:$B$500,$B23,Scoring!$L$2:$L$500,"Late"))</x:f>
      </x:c>
      <x:c r="I23" s="18" t="str">
        <x:f>IF($B23="","",IF(A23=1,"Current Champion",IF(E23=MAX($E$4:$E$103),"Score Sniper",IF(F23=MAX($F$4:$F$103),"VAR Victim","Contender"))))</x:f>
      </x:c>
    </x:row>
    <x:row r="24">
      <x:c r="A24" s="18" t="str">
        <x:f>IF($B24="","",RANK($C24,$C$4:$C$103,0)+COUNTIFS($C$4:$C24,$C24)-1)</x:f>
      </x:c>
      <x:c r="B24" s="18"/>
      <x:c r="C24" s="18" t="str">
        <x:f>IF($B24="","",SUMIF(Scoring!$B$2:$B$500,$B24,Scoring!$O$2:$O$500))</x:f>
      </x:c>
      <x:c r="D24" s="18" t="str">
        <x:f>IF($B24="","",COUNTIFS(Scoring!$B$2:$B$500,$B24,Scoring!$M$2:$M$500,Setup!$H$2))</x:f>
      </x:c>
      <x:c r="E24" s="18" t="str">
        <x:f>IF($B24="","",COUNTIFS(Scoring!$B$2:$B$500,$B24,Scoring!$N$2:$N$500,Setup!$H$5))</x:f>
      </x:c>
      <x:c r="F24" s="18" t="str">
        <x:f>IF($B24="","",COUNTIFS(Scoring!$B$2:$B$500,$B24,Scoring!$M$2:$M$500,Setup!$H$3))</x:f>
      </x:c>
      <x:c r="G24" s="18" t="str">
        <x:f>IF($B24="","",COUNTIFS(Scoring!$B$2:$B$500,$B24,Scoring!$L$2:$L$500,"Yes"))</x:f>
      </x:c>
      <x:c r="H24" s="18" t="str">
        <x:f>IF($B24="","",COUNTIFS(Scoring!$B$2:$B$500,$B24,Scoring!$L$2:$L$500,"Late"))</x:f>
      </x:c>
      <x:c r="I24" s="18" t="str">
        <x:f>IF($B24="","",IF(A24=1,"Current Champion",IF(E24=MAX($E$4:$E$103),"Score Sniper",IF(F24=MAX($F$4:$F$103),"VAR Victim","Contender"))))</x:f>
      </x:c>
    </x:row>
    <x:row r="25">
      <x:c r="A25" s="18" t="str">
        <x:f>IF($B25="","",RANK($C25,$C$4:$C$103,0)+COUNTIFS($C$4:$C25,$C25)-1)</x:f>
      </x:c>
      <x:c r="B25" s="18"/>
      <x:c r="C25" s="18" t="str">
        <x:f>IF($B25="","",SUMIF(Scoring!$B$2:$B$500,$B25,Scoring!$O$2:$O$500))</x:f>
      </x:c>
      <x:c r="D25" s="18" t="str">
        <x:f>IF($B25="","",COUNTIFS(Scoring!$B$2:$B$500,$B25,Scoring!$M$2:$M$500,Setup!$H$2))</x:f>
      </x:c>
      <x:c r="E25" s="18" t="str">
        <x:f>IF($B25="","",COUNTIFS(Scoring!$B$2:$B$500,$B25,Scoring!$N$2:$N$500,Setup!$H$5))</x:f>
      </x:c>
      <x:c r="F25" s="18" t="str">
        <x:f>IF($B25="","",COUNTIFS(Scoring!$B$2:$B$500,$B25,Scoring!$M$2:$M$500,Setup!$H$3))</x:f>
      </x:c>
      <x:c r="G25" s="18" t="str">
        <x:f>IF($B25="","",COUNTIFS(Scoring!$B$2:$B$500,$B25,Scoring!$L$2:$L$500,"Yes"))</x:f>
      </x:c>
      <x:c r="H25" s="18" t="str">
        <x:f>IF($B25="","",COUNTIFS(Scoring!$B$2:$B$500,$B25,Scoring!$L$2:$L$500,"Late"))</x:f>
      </x:c>
      <x:c r="I25" s="18" t="str">
        <x:f>IF($B25="","",IF(A25=1,"Current Champion",IF(E25=MAX($E$4:$E$103),"Score Sniper",IF(F25=MAX($F$4:$F$103),"VAR Victim","Contender"))))</x:f>
      </x:c>
    </x:row>
    <x:row r="26">
      <x:c r="A26" s="18" t="str">
        <x:f>IF($B26="","",RANK($C26,$C$4:$C$103,0)+COUNTIFS($C$4:$C26,$C26)-1)</x:f>
      </x:c>
      <x:c r="B26" s="18"/>
      <x:c r="C26" s="18" t="str">
        <x:f>IF($B26="","",SUMIF(Scoring!$B$2:$B$500,$B26,Scoring!$O$2:$O$500))</x:f>
      </x:c>
      <x:c r="D26" s="18" t="str">
        <x:f>IF($B26="","",COUNTIFS(Scoring!$B$2:$B$500,$B26,Scoring!$M$2:$M$500,Setup!$H$2))</x:f>
      </x:c>
      <x:c r="E26" s="18" t="str">
        <x:f>IF($B26="","",COUNTIFS(Scoring!$B$2:$B$500,$B26,Scoring!$N$2:$N$500,Setup!$H$5))</x:f>
      </x:c>
      <x:c r="F26" s="18" t="str">
        <x:f>IF($B26="","",COUNTIFS(Scoring!$B$2:$B$500,$B26,Scoring!$M$2:$M$500,Setup!$H$3))</x:f>
      </x:c>
      <x:c r="G26" s="18" t="str">
        <x:f>IF($B26="","",COUNTIFS(Scoring!$B$2:$B$500,$B26,Scoring!$L$2:$L$500,"Yes"))</x:f>
      </x:c>
      <x:c r="H26" s="18" t="str">
        <x:f>IF($B26="","",COUNTIFS(Scoring!$B$2:$B$500,$B26,Scoring!$L$2:$L$500,"Late"))</x:f>
      </x:c>
      <x:c r="I26" s="18" t="str">
        <x:f>IF($B26="","",IF(A26=1,"Current Champion",IF(E26=MAX($E$4:$E$103),"Score Sniper",IF(F26=MAX($F$4:$F$103),"VAR Victim","Contender"))))</x:f>
      </x:c>
    </x:row>
    <x:row r="27">
      <x:c r="A27" s="18" t="str">
        <x:f>IF($B27="","",RANK($C27,$C$4:$C$103,0)+COUNTIFS($C$4:$C27,$C27)-1)</x:f>
      </x:c>
      <x:c r="B27" s="18"/>
      <x:c r="C27" s="18" t="str">
        <x:f>IF($B27="","",SUMIF(Scoring!$B$2:$B$500,$B27,Scoring!$O$2:$O$500))</x:f>
      </x:c>
      <x:c r="D27" s="18" t="str">
        <x:f>IF($B27="","",COUNTIFS(Scoring!$B$2:$B$500,$B27,Scoring!$M$2:$M$500,Setup!$H$2))</x:f>
      </x:c>
      <x:c r="E27" s="18" t="str">
        <x:f>IF($B27="","",COUNTIFS(Scoring!$B$2:$B$500,$B27,Scoring!$N$2:$N$500,Setup!$H$5))</x:f>
      </x:c>
      <x:c r="F27" s="18" t="str">
        <x:f>IF($B27="","",COUNTIFS(Scoring!$B$2:$B$500,$B27,Scoring!$M$2:$M$500,Setup!$H$3))</x:f>
      </x:c>
      <x:c r="G27" s="18" t="str">
        <x:f>IF($B27="","",COUNTIFS(Scoring!$B$2:$B$500,$B27,Scoring!$L$2:$L$500,"Yes"))</x:f>
      </x:c>
      <x:c r="H27" s="18" t="str">
        <x:f>IF($B27="","",COUNTIFS(Scoring!$B$2:$B$500,$B27,Scoring!$L$2:$L$500,"Late"))</x:f>
      </x:c>
      <x:c r="I27" s="18" t="str">
        <x:f>IF($B27="","",IF(A27=1,"Current Champion",IF(E27=MAX($E$4:$E$103),"Score Sniper",IF(F27=MAX($F$4:$F$103),"VAR Victim","Contender"))))</x:f>
      </x:c>
    </x:row>
    <x:row r="28">
      <x:c r="A28" s="18" t="str">
        <x:f>IF($B28="","",RANK($C28,$C$4:$C$103,0)+COUNTIFS($C$4:$C28,$C28)-1)</x:f>
      </x:c>
      <x:c r="B28" s="18"/>
      <x:c r="C28" s="18" t="str">
        <x:f>IF($B28="","",SUMIF(Scoring!$B$2:$B$500,$B28,Scoring!$O$2:$O$500))</x:f>
      </x:c>
      <x:c r="D28" s="18" t="str">
        <x:f>IF($B28="","",COUNTIFS(Scoring!$B$2:$B$500,$B28,Scoring!$M$2:$M$500,Setup!$H$2))</x:f>
      </x:c>
      <x:c r="E28" s="18" t="str">
        <x:f>IF($B28="","",COUNTIFS(Scoring!$B$2:$B$500,$B28,Scoring!$N$2:$N$500,Setup!$H$5))</x:f>
      </x:c>
      <x:c r="F28" s="18" t="str">
        <x:f>IF($B28="","",COUNTIFS(Scoring!$B$2:$B$500,$B28,Scoring!$M$2:$M$500,Setup!$H$3))</x:f>
      </x:c>
      <x:c r="G28" s="18" t="str">
        <x:f>IF($B28="","",COUNTIFS(Scoring!$B$2:$B$500,$B28,Scoring!$L$2:$L$500,"Yes"))</x:f>
      </x:c>
      <x:c r="H28" s="18" t="str">
        <x:f>IF($B28="","",COUNTIFS(Scoring!$B$2:$B$500,$B28,Scoring!$L$2:$L$500,"Late"))</x:f>
      </x:c>
      <x:c r="I28" s="18" t="str">
        <x:f>IF($B28="","",IF(A28=1,"Current Champion",IF(E28=MAX($E$4:$E$103),"Score Sniper",IF(F28=MAX($F$4:$F$103),"VAR Victim","Contender"))))</x:f>
      </x:c>
    </x:row>
    <x:row r="29">
      <x:c r="A29" s="18" t="str">
        <x:f>IF($B29="","",RANK($C29,$C$4:$C$103,0)+COUNTIFS($C$4:$C29,$C29)-1)</x:f>
      </x:c>
      <x:c r="B29" s="18"/>
      <x:c r="C29" s="18" t="str">
        <x:f>IF($B29="","",SUMIF(Scoring!$B$2:$B$500,$B29,Scoring!$O$2:$O$500))</x:f>
      </x:c>
      <x:c r="D29" s="18" t="str">
        <x:f>IF($B29="","",COUNTIFS(Scoring!$B$2:$B$500,$B29,Scoring!$M$2:$M$500,Setup!$H$2))</x:f>
      </x:c>
      <x:c r="E29" s="18" t="str">
        <x:f>IF($B29="","",COUNTIFS(Scoring!$B$2:$B$500,$B29,Scoring!$N$2:$N$500,Setup!$H$5))</x:f>
      </x:c>
      <x:c r="F29" s="18" t="str">
        <x:f>IF($B29="","",COUNTIFS(Scoring!$B$2:$B$500,$B29,Scoring!$M$2:$M$500,Setup!$H$3))</x:f>
      </x:c>
      <x:c r="G29" s="18" t="str">
        <x:f>IF($B29="","",COUNTIFS(Scoring!$B$2:$B$500,$B29,Scoring!$L$2:$L$500,"Yes"))</x:f>
      </x:c>
      <x:c r="H29" s="18" t="str">
        <x:f>IF($B29="","",COUNTIFS(Scoring!$B$2:$B$500,$B29,Scoring!$L$2:$L$500,"Late"))</x:f>
      </x:c>
      <x:c r="I29" s="18" t="str">
        <x:f>IF($B29="","",IF(A29=1,"Current Champion",IF(E29=MAX($E$4:$E$103),"Score Sniper",IF(F29=MAX($F$4:$F$103),"VAR Victim","Contender"))))</x:f>
      </x:c>
    </x:row>
    <x:row r="30">
      <x:c r="A30" s="18" t="str">
        <x:f>IF($B30="","",RANK($C30,$C$4:$C$103,0)+COUNTIFS($C$4:$C30,$C30)-1)</x:f>
      </x:c>
      <x:c r="B30" s="18"/>
      <x:c r="C30" s="18" t="str">
        <x:f>IF($B30="","",SUMIF(Scoring!$B$2:$B$500,$B30,Scoring!$O$2:$O$500))</x:f>
      </x:c>
      <x:c r="D30" s="18" t="str">
        <x:f>IF($B30="","",COUNTIFS(Scoring!$B$2:$B$500,$B30,Scoring!$M$2:$M$500,Setup!$H$2))</x:f>
      </x:c>
      <x:c r="E30" s="18" t="str">
        <x:f>IF($B30="","",COUNTIFS(Scoring!$B$2:$B$500,$B30,Scoring!$N$2:$N$500,Setup!$H$5))</x:f>
      </x:c>
      <x:c r="F30" s="18" t="str">
        <x:f>IF($B30="","",COUNTIFS(Scoring!$B$2:$B$500,$B30,Scoring!$M$2:$M$500,Setup!$H$3))</x:f>
      </x:c>
      <x:c r="G30" s="18" t="str">
        <x:f>IF($B30="","",COUNTIFS(Scoring!$B$2:$B$500,$B30,Scoring!$L$2:$L$500,"Yes"))</x:f>
      </x:c>
      <x:c r="H30" s="18" t="str">
        <x:f>IF($B30="","",COUNTIFS(Scoring!$B$2:$B$500,$B30,Scoring!$L$2:$L$500,"Late"))</x:f>
      </x:c>
      <x:c r="I30" s="18" t="str">
        <x:f>IF($B30="","",IF(A30=1,"Current Champion",IF(E30=MAX($E$4:$E$103),"Score Sniper",IF(F30=MAX($F$4:$F$103),"VAR Victim","Contender"))))</x:f>
      </x:c>
    </x:row>
    <x:row r="31">
      <x:c r="A31" s="18" t="str">
        <x:f>IF($B31="","",RANK($C31,$C$4:$C$103,0)+COUNTIFS($C$4:$C31,$C31)-1)</x:f>
      </x:c>
      <x:c r="B31" s="18"/>
      <x:c r="C31" s="18" t="str">
        <x:f>IF($B31="","",SUMIF(Scoring!$B$2:$B$500,$B31,Scoring!$O$2:$O$500))</x:f>
      </x:c>
      <x:c r="D31" s="18" t="str">
        <x:f>IF($B31="","",COUNTIFS(Scoring!$B$2:$B$500,$B31,Scoring!$M$2:$M$500,Setup!$H$2))</x:f>
      </x:c>
      <x:c r="E31" s="18" t="str">
        <x:f>IF($B31="","",COUNTIFS(Scoring!$B$2:$B$500,$B31,Scoring!$N$2:$N$500,Setup!$H$5))</x:f>
      </x:c>
      <x:c r="F31" s="18" t="str">
        <x:f>IF($B31="","",COUNTIFS(Scoring!$B$2:$B$500,$B31,Scoring!$M$2:$M$500,Setup!$H$3))</x:f>
      </x:c>
      <x:c r="G31" s="18" t="str">
        <x:f>IF($B31="","",COUNTIFS(Scoring!$B$2:$B$500,$B31,Scoring!$L$2:$L$500,"Yes"))</x:f>
      </x:c>
      <x:c r="H31" s="18" t="str">
        <x:f>IF($B31="","",COUNTIFS(Scoring!$B$2:$B$500,$B31,Scoring!$L$2:$L$500,"Late"))</x:f>
      </x:c>
      <x:c r="I31" s="18" t="str">
        <x:f>IF($B31="","",IF(A31=1,"Current Champion",IF(E31=MAX($E$4:$E$103),"Score Sniper",IF(F31=MAX($F$4:$F$103),"VAR Victim","Contender"))))</x:f>
      </x:c>
    </x:row>
    <x:row r="32">
      <x:c r="A32" s="18" t="str">
        <x:f>IF($B32="","",RANK($C32,$C$4:$C$103,0)+COUNTIFS($C$4:$C32,$C32)-1)</x:f>
      </x:c>
      <x:c r="B32" s="18"/>
      <x:c r="C32" s="18" t="str">
        <x:f>IF($B32="","",SUMIF(Scoring!$B$2:$B$500,$B32,Scoring!$O$2:$O$500))</x:f>
      </x:c>
      <x:c r="D32" s="18" t="str">
        <x:f>IF($B32="","",COUNTIFS(Scoring!$B$2:$B$500,$B32,Scoring!$M$2:$M$500,Setup!$H$2))</x:f>
      </x:c>
      <x:c r="E32" s="18" t="str">
        <x:f>IF($B32="","",COUNTIFS(Scoring!$B$2:$B$500,$B32,Scoring!$N$2:$N$500,Setup!$H$5))</x:f>
      </x:c>
      <x:c r="F32" s="18" t="str">
        <x:f>IF($B32="","",COUNTIFS(Scoring!$B$2:$B$500,$B32,Scoring!$M$2:$M$500,Setup!$H$3))</x:f>
      </x:c>
      <x:c r="G32" s="18" t="str">
        <x:f>IF($B32="","",COUNTIFS(Scoring!$B$2:$B$500,$B32,Scoring!$L$2:$L$500,"Yes"))</x:f>
      </x:c>
      <x:c r="H32" s="18" t="str">
        <x:f>IF($B32="","",COUNTIFS(Scoring!$B$2:$B$500,$B32,Scoring!$L$2:$L$500,"Late"))</x:f>
      </x:c>
      <x:c r="I32" s="18" t="str">
        <x:f>IF($B32="","",IF(A32=1,"Current Champion",IF(E32=MAX($E$4:$E$103),"Score Sniper",IF(F32=MAX($F$4:$F$103),"VAR Victim","Contender"))))</x:f>
      </x:c>
    </x:row>
    <x:row r="33">
      <x:c r="A33" s="18" t="str">
        <x:f>IF($B33="","",RANK($C33,$C$4:$C$103,0)+COUNTIFS($C$4:$C33,$C33)-1)</x:f>
      </x:c>
      <x:c r="B33" s="18"/>
      <x:c r="C33" s="18" t="str">
        <x:f>IF($B33="","",SUMIF(Scoring!$B$2:$B$500,$B33,Scoring!$O$2:$O$500))</x:f>
      </x:c>
      <x:c r="D33" s="18" t="str">
        <x:f>IF($B33="","",COUNTIFS(Scoring!$B$2:$B$500,$B33,Scoring!$M$2:$M$500,Setup!$H$2))</x:f>
      </x:c>
      <x:c r="E33" s="18" t="str">
        <x:f>IF($B33="","",COUNTIFS(Scoring!$B$2:$B$500,$B33,Scoring!$N$2:$N$500,Setup!$H$5))</x:f>
      </x:c>
      <x:c r="F33" s="18" t="str">
        <x:f>IF($B33="","",COUNTIFS(Scoring!$B$2:$B$500,$B33,Scoring!$M$2:$M$500,Setup!$H$3))</x:f>
      </x:c>
      <x:c r="G33" s="18" t="str">
        <x:f>IF($B33="","",COUNTIFS(Scoring!$B$2:$B$500,$B33,Scoring!$L$2:$L$500,"Yes"))</x:f>
      </x:c>
      <x:c r="H33" s="18" t="str">
        <x:f>IF($B33="","",COUNTIFS(Scoring!$B$2:$B$500,$B33,Scoring!$L$2:$L$500,"Late"))</x:f>
      </x:c>
      <x:c r="I33" s="18" t="str">
        <x:f>IF($B33="","",IF(A33=1,"Current Champion",IF(E33=MAX($E$4:$E$103),"Score Sniper",IF(F33=MAX($F$4:$F$103),"VAR Victim","Contender"))))</x:f>
      </x:c>
    </x:row>
    <x:row r="34">
      <x:c r="A34" s="18" t="str">
        <x:f>IF($B34="","",RANK($C34,$C$4:$C$103,0)+COUNTIFS($C$4:$C34,$C34)-1)</x:f>
      </x:c>
      <x:c r="B34" s="18"/>
      <x:c r="C34" s="18" t="str">
        <x:f>IF($B34="","",SUMIF(Scoring!$B$2:$B$500,$B34,Scoring!$O$2:$O$500))</x:f>
      </x:c>
      <x:c r="D34" s="18" t="str">
        <x:f>IF($B34="","",COUNTIFS(Scoring!$B$2:$B$500,$B34,Scoring!$M$2:$M$500,Setup!$H$2))</x:f>
      </x:c>
      <x:c r="E34" s="18" t="str">
        <x:f>IF($B34="","",COUNTIFS(Scoring!$B$2:$B$500,$B34,Scoring!$N$2:$N$500,Setup!$H$5))</x:f>
      </x:c>
      <x:c r="F34" s="18" t="str">
        <x:f>IF($B34="","",COUNTIFS(Scoring!$B$2:$B$500,$B34,Scoring!$M$2:$M$500,Setup!$H$3))</x:f>
      </x:c>
      <x:c r="G34" s="18" t="str">
        <x:f>IF($B34="","",COUNTIFS(Scoring!$B$2:$B$500,$B34,Scoring!$L$2:$L$500,"Yes"))</x:f>
      </x:c>
      <x:c r="H34" s="18" t="str">
        <x:f>IF($B34="","",COUNTIFS(Scoring!$B$2:$B$500,$B34,Scoring!$L$2:$L$500,"Late"))</x:f>
      </x:c>
      <x:c r="I34" s="18" t="str">
        <x:f>IF($B34="","",IF(A34=1,"Current Champion",IF(E34=MAX($E$4:$E$103),"Score Sniper",IF(F34=MAX($F$4:$F$103),"VAR Victim","Contender"))))</x:f>
      </x:c>
    </x:row>
    <x:row r="35">
      <x:c r="A35" s="18" t="str">
        <x:f>IF($B35="","",RANK($C35,$C$4:$C$103,0)+COUNTIFS($C$4:$C35,$C35)-1)</x:f>
      </x:c>
      <x:c r="B35" s="18"/>
      <x:c r="C35" s="18" t="str">
        <x:f>IF($B35="","",SUMIF(Scoring!$B$2:$B$500,$B35,Scoring!$O$2:$O$500))</x:f>
      </x:c>
      <x:c r="D35" s="18" t="str">
        <x:f>IF($B35="","",COUNTIFS(Scoring!$B$2:$B$500,$B35,Scoring!$M$2:$M$500,Setup!$H$2))</x:f>
      </x:c>
      <x:c r="E35" s="18" t="str">
        <x:f>IF($B35="","",COUNTIFS(Scoring!$B$2:$B$500,$B35,Scoring!$N$2:$N$500,Setup!$H$5))</x:f>
      </x:c>
      <x:c r="F35" s="18" t="str">
        <x:f>IF($B35="","",COUNTIFS(Scoring!$B$2:$B$500,$B35,Scoring!$M$2:$M$500,Setup!$H$3))</x:f>
      </x:c>
      <x:c r="G35" s="18" t="str">
        <x:f>IF($B35="","",COUNTIFS(Scoring!$B$2:$B$500,$B35,Scoring!$L$2:$L$500,"Yes"))</x:f>
      </x:c>
      <x:c r="H35" s="18" t="str">
        <x:f>IF($B35="","",COUNTIFS(Scoring!$B$2:$B$500,$B35,Scoring!$L$2:$L$500,"Late"))</x:f>
      </x:c>
      <x:c r="I35" s="18" t="str">
        <x:f>IF($B35="","",IF(A35=1,"Current Champion",IF(E35=MAX($E$4:$E$103),"Score Sniper",IF(F35=MAX($F$4:$F$103),"VAR Victim","Contender"))))</x:f>
      </x:c>
    </x:row>
    <x:row r="36">
      <x:c r="A36" s="18" t="str">
        <x:f>IF($B36="","",RANK($C36,$C$4:$C$103,0)+COUNTIFS($C$4:$C36,$C36)-1)</x:f>
      </x:c>
      <x:c r="B36" s="18"/>
      <x:c r="C36" s="18" t="str">
        <x:f>IF($B36="","",SUMIF(Scoring!$B$2:$B$500,$B36,Scoring!$O$2:$O$500))</x:f>
      </x:c>
      <x:c r="D36" s="18" t="str">
        <x:f>IF($B36="","",COUNTIFS(Scoring!$B$2:$B$500,$B36,Scoring!$M$2:$M$500,Setup!$H$2))</x:f>
      </x:c>
      <x:c r="E36" s="18" t="str">
        <x:f>IF($B36="","",COUNTIFS(Scoring!$B$2:$B$500,$B36,Scoring!$N$2:$N$500,Setup!$H$5))</x:f>
      </x:c>
      <x:c r="F36" s="18" t="str">
        <x:f>IF($B36="","",COUNTIFS(Scoring!$B$2:$B$500,$B36,Scoring!$M$2:$M$500,Setup!$H$3))</x:f>
      </x:c>
      <x:c r="G36" s="18" t="str">
        <x:f>IF($B36="","",COUNTIFS(Scoring!$B$2:$B$500,$B36,Scoring!$L$2:$L$500,"Yes"))</x:f>
      </x:c>
      <x:c r="H36" s="18" t="str">
        <x:f>IF($B36="","",COUNTIFS(Scoring!$B$2:$B$500,$B36,Scoring!$L$2:$L$500,"Late"))</x:f>
      </x:c>
      <x:c r="I36" s="18" t="str">
        <x:f>IF($B36="","",IF(A36=1,"Current Champion",IF(E36=MAX($E$4:$E$103),"Score Sniper",IF(F36=MAX($F$4:$F$103),"VAR Victim","Contender"))))</x:f>
      </x:c>
    </x:row>
    <x:row r="37">
      <x:c r="A37" s="18" t="str">
        <x:f>IF($B37="","",RANK($C37,$C$4:$C$103,0)+COUNTIFS($C$4:$C37,$C37)-1)</x:f>
      </x:c>
      <x:c r="B37" s="18"/>
      <x:c r="C37" s="18" t="str">
        <x:f>IF($B37="","",SUMIF(Scoring!$B$2:$B$500,$B37,Scoring!$O$2:$O$500))</x:f>
      </x:c>
      <x:c r="D37" s="18" t="str">
        <x:f>IF($B37="","",COUNTIFS(Scoring!$B$2:$B$500,$B37,Scoring!$M$2:$M$500,Setup!$H$2))</x:f>
      </x:c>
      <x:c r="E37" s="18" t="str">
        <x:f>IF($B37="","",COUNTIFS(Scoring!$B$2:$B$500,$B37,Scoring!$N$2:$N$500,Setup!$H$5))</x:f>
      </x:c>
      <x:c r="F37" s="18" t="str">
        <x:f>IF($B37="","",COUNTIFS(Scoring!$B$2:$B$500,$B37,Scoring!$M$2:$M$500,Setup!$H$3))</x:f>
      </x:c>
      <x:c r="G37" s="18" t="str">
        <x:f>IF($B37="","",COUNTIFS(Scoring!$B$2:$B$500,$B37,Scoring!$L$2:$L$500,"Yes"))</x:f>
      </x:c>
      <x:c r="H37" s="18" t="str">
        <x:f>IF($B37="","",COUNTIFS(Scoring!$B$2:$B$500,$B37,Scoring!$L$2:$L$500,"Late"))</x:f>
      </x:c>
      <x:c r="I37" s="18" t="str">
        <x:f>IF($B37="","",IF(A37=1,"Current Champion",IF(E37=MAX($E$4:$E$103),"Score Sniper",IF(F37=MAX($F$4:$F$103),"VAR Victim","Contender"))))</x:f>
      </x:c>
    </x:row>
    <x:row r="38">
      <x:c r="A38" s="18" t="str">
        <x:f>IF($B38="","",RANK($C38,$C$4:$C$103,0)+COUNTIFS($C$4:$C38,$C38)-1)</x:f>
      </x:c>
      <x:c r="B38" s="18"/>
      <x:c r="C38" s="18" t="str">
        <x:f>IF($B38="","",SUMIF(Scoring!$B$2:$B$500,$B38,Scoring!$O$2:$O$500))</x:f>
      </x:c>
      <x:c r="D38" s="18" t="str">
        <x:f>IF($B38="","",COUNTIFS(Scoring!$B$2:$B$500,$B38,Scoring!$M$2:$M$500,Setup!$H$2))</x:f>
      </x:c>
      <x:c r="E38" s="18" t="str">
        <x:f>IF($B38="","",COUNTIFS(Scoring!$B$2:$B$500,$B38,Scoring!$N$2:$N$500,Setup!$H$5))</x:f>
      </x:c>
      <x:c r="F38" s="18" t="str">
        <x:f>IF($B38="","",COUNTIFS(Scoring!$B$2:$B$500,$B38,Scoring!$M$2:$M$500,Setup!$H$3))</x:f>
      </x:c>
      <x:c r="G38" s="18" t="str">
        <x:f>IF($B38="","",COUNTIFS(Scoring!$B$2:$B$500,$B38,Scoring!$L$2:$L$500,"Yes"))</x:f>
      </x:c>
      <x:c r="H38" s="18" t="str">
        <x:f>IF($B38="","",COUNTIFS(Scoring!$B$2:$B$500,$B38,Scoring!$L$2:$L$500,"Late"))</x:f>
      </x:c>
      <x:c r="I38" s="18" t="str">
        <x:f>IF($B38="","",IF(A38=1,"Current Champion",IF(E38=MAX($E$4:$E$103),"Score Sniper",IF(F38=MAX($F$4:$F$103),"VAR Victim","Contender"))))</x:f>
      </x:c>
    </x:row>
    <x:row r="39">
      <x:c r="A39" s="18" t="str">
        <x:f>IF($B39="","",RANK($C39,$C$4:$C$103,0)+COUNTIFS($C$4:$C39,$C39)-1)</x:f>
      </x:c>
      <x:c r="B39" s="18"/>
      <x:c r="C39" s="18" t="str">
        <x:f>IF($B39="","",SUMIF(Scoring!$B$2:$B$500,$B39,Scoring!$O$2:$O$500))</x:f>
      </x:c>
      <x:c r="D39" s="18" t="str">
        <x:f>IF($B39="","",COUNTIFS(Scoring!$B$2:$B$500,$B39,Scoring!$M$2:$M$500,Setup!$H$2))</x:f>
      </x:c>
      <x:c r="E39" s="18" t="str">
        <x:f>IF($B39="","",COUNTIFS(Scoring!$B$2:$B$500,$B39,Scoring!$N$2:$N$500,Setup!$H$5))</x:f>
      </x:c>
      <x:c r="F39" s="18" t="str">
        <x:f>IF($B39="","",COUNTIFS(Scoring!$B$2:$B$500,$B39,Scoring!$M$2:$M$500,Setup!$H$3))</x:f>
      </x:c>
      <x:c r="G39" s="18" t="str">
        <x:f>IF($B39="","",COUNTIFS(Scoring!$B$2:$B$500,$B39,Scoring!$L$2:$L$500,"Yes"))</x:f>
      </x:c>
      <x:c r="H39" s="18" t="str">
        <x:f>IF($B39="","",COUNTIFS(Scoring!$B$2:$B$500,$B39,Scoring!$L$2:$L$500,"Late"))</x:f>
      </x:c>
      <x:c r="I39" s="18" t="str">
        <x:f>IF($B39="","",IF(A39=1,"Current Champion",IF(E39=MAX($E$4:$E$103),"Score Sniper",IF(F39=MAX($F$4:$F$103),"VAR Victim","Contender"))))</x:f>
      </x:c>
    </x:row>
    <x:row r="40">
      <x:c r="A40" s="18" t="str">
        <x:f>IF($B40="","",RANK($C40,$C$4:$C$103,0)+COUNTIFS($C$4:$C40,$C40)-1)</x:f>
      </x:c>
      <x:c r="B40" s="18"/>
      <x:c r="C40" s="18" t="str">
        <x:f>IF($B40="","",SUMIF(Scoring!$B$2:$B$500,$B40,Scoring!$O$2:$O$500))</x:f>
      </x:c>
      <x:c r="D40" s="18" t="str">
        <x:f>IF($B40="","",COUNTIFS(Scoring!$B$2:$B$500,$B40,Scoring!$M$2:$M$500,Setup!$H$2))</x:f>
      </x:c>
      <x:c r="E40" s="18" t="str">
        <x:f>IF($B40="","",COUNTIFS(Scoring!$B$2:$B$500,$B40,Scoring!$N$2:$N$500,Setup!$H$5))</x:f>
      </x:c>
      <x:c r="F40" s="18" t="str">
        <x:f>IF($B40="","",COUNTIFS(Scoring!$B$2:$B$500,$B40,Scoring!$M$2:$M$500,Setup!$H$3))</x:f>
      </x:c>
      <x:c r="G40" s="18" t="str">
        <x:f>IF($B40="","",COUNTIFS(Scoring!$B$2:$B$500,$B40,Scoring!$L$2:$L$500,"Yes"))</x:f>
      </x:c>
      <x:c r="H40" s="18" t="str">
        <x:f>IF($B40="","",COUNTIFS(Scoring!$B$2:$B$500,$B40,Scoring!$L$2:$L$500,"Late"))</x:f>
      </x:c>
      <x:c r="I40" s="18" t="str">
        <x:f>IF($B40="","",IF(A40=1,"Current Champion",IF(E40=MAX($E$4:$E$103),"Score Sniper",IF(F40=MAX($F$4:$F$103),"VAR Victim","Contender"))))</x:f>
      </x:c>
    </x:row>
    <x:row r="41">
      <x:c r="A41" s="18" t="str">
        <x:f>IF($B41="","",RANK($C41,$C$4:$C$103,0)+COUNTIFS($C$4:$C41,$C41)-1)</x:f>
      </x:c>
      <x:c r="B41" s="18"/>
      <x:c r="C41" s="18" t="str">
        <x:f>IF($B41="","",SUMIF(Scoring!$B$2:$B$500,$B41,Scoring!$O$2:$O$500))</x:f>
      </x:c>
      <x:c r="D41" s="18" t="str">
        <x:f>IF($B41="","",COUNTIFS(Scoring!$B$2:$B$500,$B41,Scoring!$M$2:$M$500,Setup!$H$2))</x:f>
      </x:c>
      <x:c r="E41" s="18" t="str">
        <x:f>IF($B41="","",COUNTIFS(Scoring!$B$2:$B$500,$B41,Scoring!$N$2:$N$500,Setup!$H$5))</x:f>
      </x:c>
      <x:c r="F41" s="18" t="str">
        <x:f>IF($B41="","",COUNTIFS(Scoring!$B$2:$B$500,$B41,Scoring!$M$2:$M$500,Setup!$H$3))</x:f>
      </x:c>
      <x:c r="G41" s="18" t="str">
        <x:f>IF($B41="","",COUNTIFS(Scoring!$B$2:$B$500,$B41,Scoring!$L$2:$L$500,"Yes"))</x:f>
      </x:c>
      <x:c r="H41" s="18" t="str">
        <x:f>IF($B41="","",COUNTIFS(Scoring!$B$2:$B$500,$B41,Scoring!$L$2:$L$500,"Late"))</x:f>
      </x:c>
      <x:c r="I41" s="18" t="str">
        <x:f>IF($B41="","",IF(A41=1,"Current Champion",IF(E41=MAX($E$4:$E$103),"Score Sniper",IF(F41=MAX($F$4:$F$103),"VAR Victim","Contender"))))</x:f>
      </x:c>
    </x:row>
    <x:row r="42">
      <x:c r="A42" s="18" t="str">
        <x:f>IF($B42="","",RANK($C42,$C$4:$C$103,0)+COUNTIFS($C$4:$C42,$C42)-1)</x:f>
      </x:c>
      <x:c r="B42" s="18"/>
      <x:c r="C42" s="18" t="str">
        <x:f>IF($B42="","",SUMIF(Scoring!$B$2:$B$500,$B42,Scoring!$O$2:$O$500))</x:f>
      </x:c>
      <x:c r="D42" s="18" t="str">
        <x:f>IF($B42="","",COUNTIFS(Scoring!$B$2:$B$500,$B42,Scoring!$M$2:$M$500,Setup!$H$2))</x:f>
      </x:c>
      <x:c r="E42" s="18" t="str">
        <x:f>IF($B42="","",COUNTIFS(Scoring!$B$2:$B$500,$B42,Scoring!$N$2:$N$500,Setup!$H$5))</x:f>
      </x:c>
      <x:c r="F42" s="18" t="str">
        <x:f>IF($B42="","",COUNTIFS(Scoring!$B$2:$B$500,$B42,Scoring!$M$2:$M$500,Setup!$H$3))</x:f>
      </x:c>
      <x:c r="G42" s="18" t="str">
        <x:f>IF($B42="","",COUNTIFS(Scoring!$B$2:$B$500,$B42,Scoring!$L$2:$L$500,"Yes"))</x:f>
      </x:c>
      <x:c r="H42" s="18" t="str">
        <x:f>IF($B42="","",COUNTIFS(Scoring!$B$2:$B$500,$B42,Scoring!$L$2:$L$500,"Late"))</x:f>
      </x:c>
      <x:c r="I42" s="18" t="str">
        <x:f>IF($B42="","",IF(A42=1,"Current Champion",IF(E42=MAX($E$4:$E$103),"Score Sniper",IF(F42=MAX($F$4:$F$103),"VAR Victim","Contender"))))</x:f>
      </x:c>
    </x:row>
    <x:row r="43">
      <x:c r="A43" s="18" t="str">
        <x:f>IF($B43="","",RANK($C43,$C$4:$C$103,0)+COUNTIFS($C$4:$C43,$C43)-1)</x:f>
      </x:c>
      <x:c r="B43" s="18"/>
      <x:c r="C43" s="18" t="str">
        <x:f>IF($B43="","",SUMIF(Scoring!$B$2:$B$500,$B43,Scoring!$O$2:$O$500))</x:f>
      </x:c>
      <x:c r="D43" s="18" t="str">
        <x:f>IF($B43="","",COUNTIFS(Scoring!$B$2:$B$500,$B43,Scoring!$M$2:$M$500,Setup!$H$2))</x:f>
      </x:c>
      <x:c r="E43" s="18" t="str">
        <x:f>IF($B43="","",COUNTIFS(Scoring!$B$2:$B$500,$B43,Scoring!$N$2:$N$500,Setup!$H$5))</x:f>
      </x:c>
      <x:c r="F43" s="18" t="str">
        <x:f>IF($B43="","",COUNTIFS(Scoring!$B$2:$B$500,$B43,Scoring!$M$2:$M$500,Setup!$H$3))</x:f>
      </x:c>
      <x:c r="G43" s="18" t="str">
        <x:f>IF($B43="","",COUNTIFS(Scoring!$B$2:$B$500,$B43,Scoring!$L$2:$L$500,"Yes"))</x:f>
      </x:c>
      <x:c r="H43" s="18" t="str">
        <x:f>IF($B43="","",COUNTIFS(Scoring!$B$2:$B$500,$B43,Scoring!$L$2:$L$500,"Late"))</x:f>
      </x:c>
      <x:c r="I43" s="18" t="str">
        <x:f>IF($B43="","",IF(A43=1,"Current Champion",IF(E43=MAX($E$4:$E$103),"Score Sniper",IF(F43=MAX($F$4:$F$103),"VAR Victim","Contender"))))</x:f>
      </x:c>
    </x:row>
    <x:row r="44">
      <x:c r="A44" s="18" t="str">
        <x:f>IF($B44="","",RANK($C44,$C$4:$C$103,0)+COUNTIFS($C$4:$C44,$C44)-1)</x:f>
      </x:c>
      <x:c r="B44" s="18"/>
      <x:c r="C44" s="18" t="str">
        <x:f>IF($B44="","",SUMIF(Scoring!$B$2:$B$500,$B44,Scoring!$O$2:$O$500))</x:f>
      </x:c>
      <x:c r="D44" s="18" t="str">
        <x:f>IF($B44="","",COUNTIFS(Scoring!$B$2:$B$500,$B44,Scoring!$M$2:$M$500,Setup!$H$2))</x:f>
      </x:c>
      <x:c r="E44" s="18" t="str">
        <x:f>IF($B44="","",COUNTIFS(Scoring!$B$2:$B$500,$B44,Scoring!$N$2:$N$500,Setup!$H$5))</x:f>
      </x:c>
      <x:c r="F44" s="18" t="str">
        <x:f>IF($B44="","",COUNTIFS(Scoring!$B$2:$B$500,$B44,Scoring!$M$2:$M$500,Setup!$H$3))</x:f>
      </x:c>
      <x:c r="G44" s="18" t="str">
        <x:f>IF($B44="","",COUNTIFS(Scoring!$B$2:$B$500,$B44,Scoring!$L$2:$L$500,"Yes"))</x:f>
      </x:c>
      <x:c r="H44" s="18" t="str">
        <x:f>IF($B44="","",COUNTIFS(Scoring!$B$2:$B$500,$B44,Scoring!$L$2:$L$500,"Late"))</x:f>
      </x:c>
      <x:c r="I44" s="18" t="str">
        <x:f>IF($B44="","",IF(A44=1,"Current Champion",IF(E44=MAX($E$4:$E$103),"Score Sniper",IF(F44=MAX($F$4:$F$103),"VAR Victim","Contender"))))</x:f>
      </x:c>
    </x:row>
    <x:row r="45">
      <x:c r="A45" s="18" t="str">
        <x:f>IF($B45="","",RANK($C45,$C$4:$C$103,0)+COUNTIFS($C$4:$C45,$C45)-1)</x:f>
      </x:c>
      <x:c r="B45" s="18"/>
      <x:c r="C45" s="18" t="str">
        <x:f>IF($B45="","",SUMIF(Scoring!$B$2:$B$500,$B45,Scoring!$O$2:$O$500))</x:f>
      </x:c>
      <x:c r="D45" s="18" t="str">
        <x:f>IF($B45="","",COUNTIFS(Scoring!$B$2:$B$500,$B45,Scoring!$M$2:$M$500,Setup!$H$2))</x:f>
      </x:c>
      <x:c r="E45" s="18" t="str">
        <x:f>IF($B45="","",COUNTIFS(Scoring!$B$2:$B$500,$B45,Scoring!$N$2:$N$500,Setup!$H$5))</x:f>
      </x:c>
      <x:c r="F45" s="18" t="str">
        <x:f>IF($B45="","",COUNTIFS(Scoring!$B$2:$B$500,$B45,Scoring!$M$2:$M$500,Setup!$H$3))</x:f>
      </x:c>
      <x:c r="G45" s="18" t="str">
        <x:f>IF($B45="","",COUNTIFS(Scoring!$B$2:$B$500,$B45,Scoring!$L$2:$L$500,"Yes"))</x:f>
      </x:c>
      <x:c r="H45" s="18" t="str">
        <x:f>IF($B45="","",COUNTIFS(Scoring!$B$2:$B$500,$B45,Scoring!$L$2:$L$500,"Late"))</x:f>
      </x:c>
      <x:c r="I45" s="18" t="str">
        <x:f>IF($B45="","",IF(A45=1,"Current Champion",IF(E45=MAX($E$4:$E$103),"Score Sniper",IF(F45=MAX($F$4:$F$103),"VAR Victim","Contender"))))</x:f>
      </x:c>
    </x:row>
    <x:row r="46">
      <x:c r="A46" s="18" t="str">
        <x:f>IF($B46="","",RANK($C46,$C$4:$C$103,0)+COUNTIFS($C$4:$C46,$C46)-1)</x:f>
      </x:c>
      <x:c r="B46" s="18"/>
      <x:c r="C46" s="18" t="str">
        <x:f>IF($B46="","",SUMIF(Scoring!$B$2:$B$500,$B46,Scoring!$O$2:$O$500))</x:f>
      </x:c>
      <x:c r="D46" s="18" t="str">
        <x:f>IF($B46="","",COUNTIFS(Scoring!$B$2:$B$500,$B46,Scoring!$M$2:$M$500,Setup!$H$2))</x:f>
      </x:c>
      <x:c r="E46" s="18" t="str">
        <x:f>IF($B46="","",COUNTIFS(Scoring!$B$2:$B$500,$B46,Scoring!$N$2:$N$500,Setup!$H$5))</x:f>
      </x:c>
      <x:c r="F46" s="18" t="str">
        <x:f>IF($B46="","",COUNTIFS(Scoring!$B$2:$B$500,$B46,Scoring!$M$2:$M$500,Setup!$H$3))</x:f>
      </x:c>
      <x:c r="G46" s="18" t="str">
        <x:f>IF($B46="","",COUNTIFS(Scoring!$B$2:$B$500,$B46,Scoring!$L$2:$L$500,"Yes"))</x:f>
      </x:c>
      <x:c r="H46" s="18" t="str">
        <x:f>IF($B46="","",COUNTIFS(Scoring!$B$2:$B$500,$B46,Scoring!$L$2:$L$500,"Late"))</x:f>
      </x:c>
      <x:c r="I46" s="18" t="str">
        <x:f>IF($B46="","",IF(A46=1,"Current Champion",IF(E46=MAX($E$4:$E$103),"Score Sniper",IF(F46=MAX($F$4:$F$103),"VAR Victim","Contender"))))</x:f>
      </x:c>
    </x:row>
    <x:row r="47">
      <x:c r="A47" s="18" t="str">
        <x:f>IF($B47="","",RANK($C47,$C$4:$C$103,0)+COUNTIFS($C$4:$C47,$C47)-1)</x:f>
      </x:c>
      <x:c r="B47" s="18"/>
      <x:c r="C47" s="18" t="str">
        <x:f>IF($B47="","",SUMIF(Scoring!$B$2:$B$500,$B47,Scoring!$O$2:$O$500))</x:f>
      </x:c>
      <x:c r="D47" s="18" t="str">
        <x:f>IF($B47="","",COUNTIFS(Scoring!$B$2:$B$500,$B47,Scoring!$M$2:$M$500,Setup!$H$2))</x:f>
      </x:c>
      <x:c r="E47" s="18" t="str">
        <x:f>IF($B47="","",COUNTIFS(Scoring!$B$2:$B$500,$B47,Scoring!$N$2:$N$500,Setup!$H$5))</x:f>
      </x:c>
      <x:c r="F47" s="18" t="str">
        <x:f>IF($B47="","",COUNTIFS(Scoring!$B$2:$B$500,$B47,Scoring!$M$2:$M$500,Setup!$H$3))</x:f>
      </x:c>
      <x:c r="G47" s="18" t="str">
        <x:f>IF($B47="","",COUNTIFS(Scoring!$B$2:$B$500,$B47,Scoring!$L$2:$L$500,"Yes"))</x:f>
      </x:c>
      <x:c r="H47" s="18" t="str">
        <x:f>IF($B47="","",COUNTIFS(Scoring!$B$2:$B$500,$B47,Scoring!$L$2:$L$500,"Late"))</x:f>
      </x:c>
      <x:c r="I47" s="18" t="str">
        <x:f>IF($B47="","",IF(A47=1,"Current Champion",IF(E47=MAX($E$4:$E$103),"Score Sniper",IF(F47=MAX($F$4:$F$103),"VAR Victim","Contender"))))</x:f>
      </x:c>
    </x:row>
    <x:row r="48">
      <x:c r="A48" s="18" t="str">
        <x:f>IF($B48="","",RANK($C48,$C$4:$C$103,0)+COUNTIFS($C$4:$C48,$C48)-1)</x:f>
      </x:c>
      <x:c r="B48" s="18"/>
      <x:c r="C48" s="18" t="str">
        <x:f>IF($B48="","",SUMIF(Scoring!$B$2:$B$500,$B48,Scoring!$O$2:$O$500))</x:f>
      </x:c>
      <x:c r="D48" s="18" t="str">
        <x:f>IF($B48="","",COUNTIFS(Scoring!$B$2:$B$500,$B48,Scoring!$M$2:$M$500,Setup!$H$2))</x:f>
      </x:c>
      <x:c r="E48" s="18" t="str">
        <x:f>IF($B48="","",COUNTIFS(Scoring!$B$2:$B$500,$B48,Scoring!$N$2:$N$500,Setup!$H$5))</x:f>
      </x:c>
      <x:c r="F48" s="18" t="str">
        <x:f>IF($B48="","",COUNTIFS(Scoring!$B$2:$B$500,$B48,Scoring!$M$2:$M$500,Setup!$H$3))</x:f>
      </x:c>
      <x:c r="G48" s="18" t="str">
        <x:f>IF($B48="","",COUNTIFS(Scoring!$B$2:$B$500,$B48,Scoring!$L$2:$L$500,"Yes"))</x:f>
      </x:c>
      <x:c r="H48" s="18" t="str">
        <x:f>IF($B48="","",COUNTIFS(Scoring!$B$2:$B$500,$B48,Scoring!$L$2:$L$500,"Late"))</x:f>
      </x:c>
      <x:c r="I48" s="18" t="str">
        <x:f>IF($B48="","",IF(A48=1,"Current Champion",IF(E48=MAX($E$4:$E$103),"Score Sniper",IF(F48=MAX($F$4:$F$103),"VAR Victim","Contender"))))</x:f>
      </x:c>
    </x:row>
    <x:row r="49">
      <x:c r="A49" s="18" t="str">
        <x:f>IF($B49="","",RANK($C49,$C$4:$C$103,0)+COUNTIFS($C$4:$C49,$C49)-1)</x:f>
      </x:c>
      <x:c r="B49" s="18"/>
      <x:c r="C49" s="18" t="str">
        <x:f>IF($B49="","",SUMIF(Scoring!$B$2:$B$500,$B49,Scoring!$O$2:$O$500))</x:f>
      </x:c>
      <x:c r="D49" s="18" t="str">
        <x:f>IF($B49="","",COUNTIFS(Scoring!$B$2:$B$500,$B49,Scoring!$M$2:$M$500,Setup!$H$2))</x:f>
      </x:c>
      <x:c r="E49" s="18" t="str">
        <x:f>IF($B49="","",COUNTIFS(Scoring!$B$2:$B$500,$B49,Scoring!$N$2:$N$500,Setup!$H$5))</x:f>
      </x:c>
      <x:c r="F49" s="18" t="str">
        <x:f>IF($B49="","",COUNTIFS(Scoring!$B$2:$B$500,$B49,Scoring!$M$2:$M$500,Setup!$H$3))</x:f>
      </x:c>
      <x:c r="G49" s="18" t="str">
        <x:f>IF($B49="","",COUNTIFS(Scoring!$B$2:$B$500,$B49,Scoring!$L$2:$L$500,"Yes"))</x:f>
      </x:c>
      <x:c r="H49" s="18" t="str">
        <x:f>IF($B49="","",COUNTIFS(Scoring!$B$2:$B$500,$B49,Scoring!$L$2:$L$500,"Late"))</x:f>
      </x:c>
      <x:c r="I49" s="18" t="str">
        <x:f>IF($B49="","",IF(A49=1,"Current Champion",IF(E49=MAX($E$4:$E$103),"Score Sniper",IF(F49=MAX($F$4:$F$103),"VAR Victim","Contender"))))</x:f>
      </x:c>
    </x:row>
    <x:row r="50">
      <x:c r="A50" s="18" t="str">
        <x:f>IF($B50="","",RANK($C50,$C$4:$C$103,0)+COUNTIFS($C$4:$C50,$C50)-1)</x:f>
      </x:c>
      <x:c r="B50" s="18"/>
      <x:c r="C50" s="18" t="str">
        <x:f>IF($B50="","",SUMIF(Scoring!$B$2:$B$500,$B50,Scoring!$O$2:$O$500))</x:f>
      </x:c>
      <x:c r="D50" s="18" t="str">
        <x:f>IF($B50="","",COUNTIFS(Scoring!$B$2:$B$500,$B50,Scoring!$M$2:$M$500,Setup!$H$2))</x:f>
      </x:c>
      <x:c r="E50" s="18" t="str">
        <x:f>IF($B50="","",COUNTIFS(Scoring!$B$2:$B$500,$B50,Scoring!$N$2:$N$500,Setup!$H$5))</x:f>
      </x:c>
      <x:c r="F50" s="18" t="str">
        <x:f>IF($B50="","",COUNTIFS(Scoring!$B$2:$B$500,$B50,Scoring!$M$2:$M$500,Setup!$H$3))</x:f>
      </x:c>
      <x:c r="G50" s="18" t="str">
        <x:f>IF($B50="","",COUNTIFS(Scoring!$B$2:$B$500,$B50,Scoring!$L$2:$L$500,"Yes"))</x:f>
      </x:c>
      <x:c r="H50" s="18" t="str">
        <x:f>IF($B50="","",COUNTIFS(Scoring!$B$2:$B$500,$B50,Scoring!$L$2:$L$500,"Late"))</x:f>
      </x:c>
      <x:c r="I50" s="18" t="str">
        <x:f>IF($B50="","",IF(A50=1,"Current Champion",IF(E50=MAX($E$4:$E$103),"Score Sniper",IF(F50=MAX($F$4:$F$103),"VAR Victim","Contender"))))</x:f>
      </x:c>
    </x:row>
    <x:row r="51">
      <x:c r="A51" s="18" t="str">
        <x:f>IF($B51="","",RANK($C51,$C$4:$C$103,0)+COUNTIFS($C$4:$C51,$C51)-1)</x:f>
      </x:c>
      <x:c r="B51" s="18"/>
      <x:c r="C51" s="18" t="str">
        <x:f>IF($B51="","",SUMIF(Scoring!$B$2:$B$500,$B51,Scoring!$O$2:$O$500))</x:f>
      </x:c>
      <x:c r="D51" s="18" t="str">
        <x:f>IF($B51="","",COUNTIFS(Scoring!$B$2:$B$500,$B51,Scoring!$M$2:$M$500,Setup!$H$2))</x:f>
      </x:c>
      <x:c r="E51" s="18" t="str">
        <x:f>IF($B51="","",COUNTIFS(Scoring!$B$2:$B$500,$B51,Scoring!$N$2:$N$500,Setup!$H$5))</x:f>
      </x:c>
      <x:c r="F51" s="18" t="str">
        <x:f>IF($B51="","",COUNTIFS(Scoring!$B$2:$B$500,$B51,Scoring!$M$2:$M$500,Setup!$H$3))</x:f>
      </x:c>
      <x:c r="G51" s="18" t="str">
        <x:f>IF($B51="","",COUNTIFS(Scoring!$B$2:$B$500,$B51,Scoring!$L$2:$L$500,"Yes"))</x:f>
      </x:c>
      <x:c r="H51" s="18" t="str">
        <x:f>IF($B51="","",COUNTIFS(Scoring!$B$2:$B$500,$B51,Scoring!$L$2:$L$500,"Late"))</x:f>
      </x:c>
      <x:c r="I51" s="18" t="str">
        <x:f>IF($B51="","",IF(A51=1,"Current Champion",IF(E51=MAX($E$4:$E$103),"Score Sniper",IF(F51=MAX($F$4:$F$103),"VAR Victim","Contender"))))</x:f>
      </x:c>
    </x:row>
    <x:row r="52">
      <x:c r="A52" s="18" t="str">
        <x:f>IF($B52="","",RANK($C52,$C$4:$C$103,0)+COUNTIFS($C$4:$C52,$C52)-1)</x:f>
      </x:c>
      <x:c r="B52" s="18"/>
      <x:c r="C52" s="18" t="str">
        <x:f>IF($B52="","",SUMIF(Scoring!$B$2:$B$500,$B52,Scoring!$O$2:$O$500))</x:f>
      </x:c>
      <x:c r="D52" s="18" t="str">
        <x:f>IF($B52="","",COUNTIFS(Scoring!$B$2:$B$500,$B52,Scoring!$M$2:$M$500,Setup!$H$2))</x:f>
      </x:c>
      <x:c r="E52" s="18" t="str">
        <x:f>IF($B52="","",COUNTIFS(Scoring!$B$2:$B$500,$B52,Scoring!$N$2:$N$500,Setup!$H$5))</x:f>
      </x:c>
      <x:c r="F52" s="18" t="str">
        <x:f>IF($B52="","",COUNTIFS(Scoring!$B$2:$B$500,$B52,Scoring!$M$2:$M$500,Setup!$H$3))</x:f>
      </x:c>
      <x:c r="G52" s="18" t="str">
        <x:f>IF($B52="","",COUNTIFS(Scoring!$B$2:$B$500,$B52,Scoring!$L$2:$L$500,"Yes"))</x:f>
      </x:c>
      <x:c r="H52" s="18" t="str">
        <x:f>IF($B52="","",COUNTIFS(Scoring!$B$2:$B$500,$B52,Scoring!$L$2:$L$500,"Late"))</x:f>
      </x:c>
      <x:c r="I52" s="18" t="str">
        <x:f>IF($B52="","",IF(A52=1,"Current Champion",IF(E52=MAX($E$4:$E$103),"Score Sniper",IF(F52=MAX($F$4:$F$103),"VAR Victim","Contender"))))</x:f>
      </x:c>
    </x:row>
    <x:row r="53">
      <x:c r="A53" s="18" t="str">
        <x:f>IF($B53="","",RANK($C53,$C$4:$C$103,0)+COUNTIFS($C$4:$C53,$C53)-1)</x:f>
      </x:c>
      <x:c r="B53" s="18"/>
      <x:c r="C53" s="18" t="str">
        <x:f>IF($B53="","",SUMIF(Scoring!$B$2:$B$500,$B53,Scoring!$O$2:$O$500))</x:f>
      </x:c>
      <x:c r="D53" s="18" t="str">
        <x:f>IF($B53="","",COUNTIFS(Scoring!$B$2:$B$500,$B53,Scoring!$M$2:$M$500,Setup!$H$2))</x:f>
      </x:c>
      <x:c r="E53" s="18" t="str">
        <x:f>IF($B53="","",COUNTIFS(Scoring!$B$2:$B$500,$B53,Scoring!$N$2:$N$500,Setup!$H$5))</x:f>
      </x:c>
      <x:c r="F53" s="18" t="str">
        <x:f>IF($B53="","",COUNTIFS(Scoring!$B$2:$B$500,$B53,Scoring!$M$2:$M$500,Setup!$H$3))</x:f>
      </x:c>
      <x:c r="G53" s="18" t="str">
        <x:f>IF($B53="","",COUNTIFS(Scoring!$B$2:$B$500,$B53,Scoring!$L$2:$L$500,"Yes"))</x:f>
      </x:c>
      <x:c r="H53" s="18" t="str">
        <x:f>IF($B53="","",COUNTIFS(Scoring!$B$2:$B$500,$B53,Scoring!$L$2:$L$500,"Late"))</x:f>
      </x:c>
      <x:c r="I53" s="18" t="str">
        <x:f>IF($B53="","",IF(A53=1,"Current Champion",IF(E53=MAX($E$4:$E$103),"Score Sniper",IF(F53=MAX($F$4:$F$103),"VAR Victim","Contender"))))</x:f>
      </x:c>
    </x:row>
    <x:row r="54">
      <x:c r="A54" s="18" t="str">
        <x:f>IF($B54="","",RANK($C54,$C$4:$C$103,0)+COUNTIFS($C$4:$C54,$C54)-1)</x:f>
      </x:c>
      <x:c r="B54" s="18"/>
      <x:c r="C54" s="18" t="str">
        <x:f>IF($B54="","",SUMIF(Scoring!$B$2:$B$500,$B54,Scoring!$O$2:$O$500))</x:f>
      </x:c>
      <x:c r="D54" s="18" t="str">
        <x:f>IF($B54="","",COUNTIFS(Scoring!$B$2:$B$500,$B54,Scoring!$M$2:$M$500,Setup!$H$2))</x:f>
      </x:c>
      <x:c r="E54" s="18" t="str">
        <x:f>IF($B54="","",COUNTIFS(Scoring!$B$2:$B$500,$B54,Scoring!$N$2:$N$500,Setup!$H$5))</x:f>
      </x:c>
      <x:c r="F54" s="18" t="str">
        <x:f>IF($B54="","",COUNTIFS(Scoring!$B$2:$B$500,$B54,Scoring!$M$2:$M$500,Setup!$H$3))</x:f>
      </x:c>
      <x:c r="G54" s="18" t="str">
        <x:f>IF($B54="","",COUNTIFS(Scoring!$B$2:$B$500,$B54,Scoring!$L$2:$L$500,"Yes"))</x:f>
      </x:c>
      <x:c r="H54" s="18" t="str">
        <x:f>IF($B54="","",COUNTIFS(Scoring!$B$2:$B$500,$B54,Scoring!$L$2:$L$500,"Late"))</x:f>
      </x:c>
      <x:c r="I54" s="18" t="str">
        <x:f>IF($B54="","",IF(A54=1,"Current Champion",IF(E54=MAX($E$4:$E$103),"Score Sniper",IF(F54=MAX($F$4:$F$103),"VAR Victim","Contender"))))</x:f>
      </x:c>
    </x:row>
    <x:row r="55">
      <x:c r="A55" s="18" t="str">
        <x:f>IF($B55="","",RANK($C55,$C$4:$C$103,0)+COUNTIFS($C$4:$C55,$C55)-1)</x:f>
      </x:c>
      <x:c r="B55" s="18"/>
      <x:c r="C55" s="18" t="str">
        <x:f>IF($B55="","",SUMIF(Scoring!$B$2:$B$500,$B55,Scoring!$O$2:$O$500))</x:f>
      </x:c>
      <x:c r="D55" s="18" t="str">
        <x:f>IF($B55="","",COUNTIFS(Scoring!$B$2:$B$500,$B55,Scoring!$M$2:$M$500,Setup!$H$2))</x:f>
      </x:c>
      <x:c r="E55" s="18" t="str">
        <x:f>IF($B55="","",COUNTIFS(Scoring!$B$2:$B$500,$B55,Scoring!$N$2:$N$500,Setup!$H$5))</x:f>
      </x:c>
      <x:c r="F55" s="18" t="str">
        <x:f>IF($B55="","",COUNTIFS(Scoring!$B$2:$B$500,$B55,Scoring!$M$2:$M$500,Setup!$H$3))</x:f>
      </x:c>
      <x:c r="G55" s="18" t="str">
        <x:f>IF($B55="","",COUNTIFS(Scoring!$B$2:$B$500,$B55,Scoring!$L$2:$L$500,"Yes"))</x:f>
      </x:c>
      <x:c r="H55" s="18" t="str">
        <x:f>IF($B55="","",COUNTIFS(Scoring!$B$2:$B$500,$B55,Scoring!$L$2:$L$500,"Late"))</x:f>
      </x:c>
      <x:c r="I55" s="18" t="str">
        <x:f>IF($B55="","",IF(A55=1,"Current Champion",IF(E55=MAX($E$4:$E$103),"Score Sniper",IF(F55=MAX($F$4:$F$103),"VAR Victim","Contender"))))</x:f>
      </x:c>
    </x:row>
    <x:row r="56">
      <x:c r="A56" s="18" t="str">
        <x:f>IF($B56="","",RANK($C56,$C$4:$C$103,0)+COUNTIFS($C$4:$C56,$C56)-1)</x:f>
      </x:c>
      <x:c r="B56" s="18"/>
      <x:c r="C56" s="18" t="str">
        <x:f>IF($B56="","",SUMIF(Scoring!$B$2:$B$500,$B56,Scoring!$O$2:$O$500))</x:f>
      </x:c>
      <x:c r="D56" s="18" t="str">
        <x:f>IF($B56="","",COUNTIFS(Scoring!$B$2:$B$500,$B56,Scoring!$M$2:$M$500,Setup!$H$2))</x:f>
      </x:c>
      <x:c r="E56" s="18" t="str">
        <x:f>IF($B56="","",COUNTIFS(Scoring!$B$2:$B$500,$B56,Scoring!$N$2:$N$500,Setup!$H$5))</x:f>
      </x:c>
      <x:c r="F56" s="18" t="str">
        <x:f>IF($B56="","",COUNTIFS(Scoring!$B$2:$B$500,$B56,Scoring!$M$2:$M$500,Setup!$H$3))</x:f>
      </x:c>
      <x:c r="G56" s="18" t="str">
        <x:f>IF($B56="","",COUNTIFS(Scoring!$B$2:$B$500,$B56,Scoring!$L$2:$L$500,"Yes"))</x:f>
      </x:c>
      <x:c r="H56" s="18" t="str">
        <x:f>IF($B56="","",COUNTIFS(Scoring!$B$2:$B$500,$B56,Scoring!$L$2:$L$500,"Late"))</x:f>
      </x:c>
      <x:c r="I56" s="18" t="str">
        <x:f>IF($B56="","",IF(A56=1,"Current Champion",IF(E56=MAX($E$4:$E$103),"Score Sniper",IF(F56=MAX($F$4:$F$103),"VAR Victim","Contender"))))</x:f>
      </x:c>
    </x:row>
    <x:row r="57">
      <x:c r="A57" s="18" t="str">
        <x:f>IF($B57="","",RANK($C57,$C$4:$C$103,0)+COUNTIFS($C$4:$C57,$C57)-1)</x:f>
      </x:c>
      <x:c r="B57" s="18"/>
      <x:c r="C57" s="18" t="str">
        <x:f>IF($B57="","",SUMIF(Scoring!$B$2:$B$500,$B57,Scoring!$O$2:$O$500))</x:f>
      </x:c>
      <x:c r="D57" s="18" t="str">
        <x:f>IF($B57="","",COUNTIFS(Scoring!$B$2:$B$500,$B57,Scoring!$M$2:$M$500,Setup!$H$2))</x:f>
      </x:c>
      <x:c r="E57" s="18" t="str">
        <x:f>IF($B57="","",COUNTIFS(Scoring!$B$2:$B$500,$B57,Scoring!$N$2:$N$500,Setup!$H$5))</x:f>
      </x:c>
      <x:c r="F57" s="18" t="str">
        <x:f>IF($B57="","",COUNTIFS(Scoring!$B$2:$B$500,$B57,Scoring!$M$2:$M$500,Setup!$H$3))</x:f>
      </x:c>
      <x:c r="G57" s="18" t="str">
        <x:f>IF($B57="","",COUNTIFS(Scoring!$B$2:$B$500,$B57,Scoring!$L$2:$L$500,"Yes"))</x:f>
      </x:c>
      <x:c r="H57" s="18" t="str">
        <x:f>IF($B57="","",COUNTIFS(Scoring!$B$2:$B$500,$B57,Scoring!$L$2:$L$500,"Late"))</x:f>
      </x:c>
      <x:c r="I57" s="18" t="str">
        <x:f>IF($B57="","",IF(A57=1,"Current Champion",IF(E57=MAX($E$4:$E$103),"Score Sniper",IF(F57=MAX($F$4:$F$103),"VAR Victim","Contender"))))</x:f>
      </x:c>
    </x:row>
    <x:row r="58">
      <x:c r="A58" s="18" t="str">
        <x:f>IF($B58="","",RANK($C58,$C$4:$C$103,0)+COUNTIFS($C$4:$C58,$C58)-1)</x:f>
      </x:c>
      <x:c r="B58" s="18"/>
      <x:c r="C58" s="18" t="str">
        <x:f>IF($B58="","",SUMIF(Scoring!$B$2:$B$500,$B58,Scoring!$O$2:$O$500))</x:f>
      </x:c>
      <x:c r="D58" s="18" t="str">
        <x:f>IF($B58="","",COUNTIFS(Scoring!$B$2:$B$500,$B58,Scoring!$M$2:$M$500,Setup!$H$2))</x:f>
      </x:c>
      <x:c r="E58" s="18" t="str">
        <x:f>IF($B58="","",COUNTIFS(Scoring!$B$2:$B$500,$B58,Scoring!$N$2:$N$500,Setup!$H$5))</x:f>
      </x:c>
      <x:c r="F58" s="18" t="str">
        <x:f>IF($B58="","",COUNTIFS(Scoring!$B$2:$B$500,$B58,Scoring!$M$2:$M$500,Setup!$H$3))</x:f>
      </x:c>
      <x:c r="G58" s="18" t="str">
        <x:f>IF($B58="","",COUNTIFS(Scoring!$B$2:$B$500,$B58,Scoring!$L$2:$L$500,"Yes"))</x:f>
      </x:c>
      <x:c r="H58" s="18" t="str">
        <x:f>IF($B58="","",COUNTIFS(Scoring!$B$2:$B$500,$B58,Scoring!$L$2:$L$500,"Late"))</x:f>
      </x:c>
      <x:c r="I58" s="18" t="str">
        <x:f>IF($B58="","",IF(A58=1,"Current Champion",IF(E58=MAX($E$4:$E$103),"Score Sniper",IF(F58=MAX($F$4:$F$103),"VAR Victim","Contender"))))</x:f>
      </x:c>
    </x:row>
    <x:row r="59">
      <x:c r="A59" s="18" t="str">
        <x:f>IF($B59="","",RANK($C59,$C$4:$C$103,0)+COUNTIFS($C$4:$C59,$C59)-1)</x:f>
      </x:c>
      <x:c r="B59" s="18"/>
      <x:c r="C59" s="18" t="str">
        <x:f>IF($B59="","",SUMIF(Scoring!$B$2:$B$500,$B59,Scoring!$O$2:$O$500))</x:f>
      </x:c>
      <x:c r="D59" s="18" t="str">
        <x:f>IF($B59="","",COUNTIFS(Scoring!$B$2:$B$500,$B59,Scoring!$M$2:$M$500,Setup!$H$2))</x:f>
      </x:c>
      <x:c r="E59" s="18" t="str">
        <x:f>IF($B59="","",COUNTIFS(Scoring!$B$2:$B$500,$B59,Scoring!$N$2:$N$500,Setup!$H$5))</x:f>
      </x:c>
      <x:c r="F59" s="18" t="str">
        <x:f>IF($B59="","",COUNTIFS(Scoring!$B$2:$B$500,$B59,Scoring!$M$2:$M$500,Setup!$H$3))</x:f>
      </x:c>
      <x:c r="G59" s="18" t="str">
        <x:f>IF($B59="","",COUNTIFS(Scoring!$B$2:$B$500,$B59,Scoring!$L$2:$L$500,"Yes"))</x:f>
      </x:c>
      <x:c r="H59" s="18" t="str">
        <x:f>IF($B59="","",COUNTIFS(Scoring!$B$2:$B$500,$B59,Scoring!$L$2:$L$500,"Late"))</x:f>
      </x:c>
      <x:c r="I59" s="18" t="str">
        <x:f>IF($B59="","",IF(A59=1,"Current Champion",IF(E59=MAX($E$4:$E$103),"Score Sniper",IF(F59=MAX($F$4:$F$103),"VAR Victim","Contender"))))</x:f>
      </x:c>
    </x:row>
    <x:row r="60">
      <x:c r="A60" s="18" t="str">
        <x:f>IF($B60="","",RANK($C60,$C$4:$C$103,0)+COUNTIFS($C$4:$C60,$C60)-1)</x:f>
      </x:c>
      <x:c r="B60" s="18"/>
      <x:c r="C60" s="18" t="str">
        <x:f>IF($B60="","",SUMIF(Scoring!$B$2:$B$500,$B60,Scoring!$O$2:$O$500))</x:f>
      </x:c>
      <x:c r="D60" s="18" t="str">
        <x:f>IF($B60="","",COUNTIFS(Scoring!$B$2:$B$500,$B60,Scoring!$M$2:$M$500,Setup!$H$2))</x:f>
      </x:c>
      <x:c r="E60" s="18" t="str">
        <x:f>IF($B60="","",COUNTIFS(Scoring!$B$2:$B$500,$B60,Scoring!$N$2:$N$500,Setup!$H$5))</x:f>
      </x:c>
      <x:c r="F60" s="18" t="str">
        <x:f>IF($B60="","",COUNTIFS(Scoring!$B$2:$B$500,$B60,Scoring!$M$2:$M$500,Setup!$H$3))</x:f>
      </x:c>
      <x:c r="G60" s="18" t="str">
        <x:f>IF($B60="","",COUNTIFS(Scoring!$B$2:$B$500,$B60,Scoring!$L$2:$L$500,"Yes"))</x:f>
      </x:c>
      <x:c r="H60" s="18" t="str">
        <x:f>IF($B60="","",COUNTIFS(Scoring!$B$2:$B$500,$B60,Scoring!$L$2:$L$500,"Late"))</x:f>
      </x:c>
      <x:c r="I60" s="18" t="str">
        <x:f>IF($B60="","",IF(A60=1,"Current Champion",IF(E60=MAX($E$4:$E$103),"Score Sniper",IF(F60=MAX($F$4:$F$103),"VAR Victim","Contender"))))</x:f>
      </x:c>
    </x:row>
    <x:row r="61">
      <x:c r="A61" s="18" t="str">
        <x:f>IF($B61="","",RANK($C61,$C$4:$C$103,0)+COUNTIFS($C$4:$C61,$C61)-1)</x:f>
      </x:c>
      <x:c r="B61" s="18"/>
      <x:c r="C61" s="18" t="str">
        <x:f>IF($B61="","",SUMIF(Scoring!$B$2:$B$500,$B61,Scoring!$O$2:$O$500))</x:f>
      </x:c>
      <x:c r="D61" s="18" t="str">
        <x:f>IF($B61="","",COUNTIFS(Scoring!$B$2:$B$500,$B61,Scoring!$M$2:$M$500,Setup!$H$2))</x:f>
      </x:c>
      <x:c r="E61" s="18" t="str">
        <x:f>IF($B61="","",COUNTIFS(Scoring!$B$2:$B$500,$B61,Scoring!$N$2:$N$500,Setup!$H$5))</x:f>
      </x:c>
      <x:c r="F61" s="18" t="str">
        <x:f>IF($B61="","",COUNTIFS(Scoring!$B$2:$B$500,$B61,Scoring!$M$2:$M$500,Setup!$H$3))</x:f>
      </x:c>
      <x:c r="G61" s="18" t="str">
        <x:f>IF($B61="","",COUNTIFS(Scoring!$B$2:$B$500,$B61,Scoring!$L$2:$L$500,"Yes"))</x:f>
      </x:c>
      <x:c r="H61" s="18" t="str">
        <x:f>IF($B61="","",COUNTIFS(Scoring!$B$2:$B$500,$B61,Scoring!$L$2:$L$500,"Late"))</x:f>
      </x:c>
      <x:c r="I61" s="18" t="str">
        <x:f>IF($B61="","",IF(A61=1,"Current Champion",IF(E61=MAX($E$4:$E$103),"Score Sniper",IF(F61=MAX($F$4:$F$103),"VAR Victim","Contender"))))</x:f>
      </x:c>
    </x:row>
    <x:row r="62">
      <x:c r="A62" s="18" t="str">
        <x:f>IF($B62="","",RANK($C62,$C$4:$C$103,0)+COUNTIFS($C$4:$C62,$C62)-1)</x:f>
      </x:c>
      <x:c r="B62" s="18"/>
      <x:c r="C62" s="18" t="str">
        <x:f>IF($B62="","",SUMIF(Scoring!$B$2:$B$500,$B62,Scoring!$O$2:$O$500))</x:f>
      </x:c>
      <x:c r="D62" s="18" t="str">
        <x:f>IF($B62="","",COUNTIFS(Scoring!$B$2:$B$500,$B62,Scoring!$M$2:$M$500,Setup!$H$2))</x:f>
      </x:c>
      <x:c r="E62" s="18" t="str">
        <x:f>IF($B62="","",COUNTIFS(Scoring!$B$2:$B$500,$B62,Scoring!$N$2:$N$500,Setup!$H$5))</x:f>
      </x:c>
      <x:c r="F62" s="18" t="str">
        <x:f>IF($B62="","",COUNTIFS(Scoring!$B$2:$B$500,$B62,Scoring!$M$2:$M$500,Setup!$H$3))</x:f>
      </x:c>
      <x:c r="G62" s="18" t="str">
        <x:f>IF($B62="","",COUNTIFS(Scoring!$B$2:$B$500,$B62,Scoring!$L$2:$L$500,"Yes"))</x:f>
      </x:c>
      <x:c r="H62" s="18" t="str">
        <x:f>IF($B62="","",COUNTIFS(Scoring!$B$2:$B$500,$B62,Scoring!$L$2:$L$500,"Late"))</x:f>
      </x:c>
      <x:c r="I62" s="18" t="str">
        <x:f>IF($B62="","",IF(A62=1,"Current Champion",IF(E62=MAX($E$4:$E$103),"Score Sniper",IF(F62=MAX($F$4:$F$103),"VAR Victim","Contender"))))</x:f>
      </x:c>
    </x:row>
    <x:row r="63">
      <x:c r="A63" s="18" t="str">
        <x:f>IF($B63="","",RANK($C63,$C$4:$C$103,0)+COUNTIFS($C$4:$C63,$C63)-1)</x:f>
      </x:c>
      <x:c r="B63" s="18"/>
      <x:c r="C63" s="18" t="str">
        <x:f>IF($B63="","",SUMIF(Scoring!$B$2:$B$500,$B63,Scoring!$O$2:$O$500))</x:f>
      </x:c>
      <x:c r="D63" s="18" t="str">
        <x:f>IF($B63="","",COUNTIFS(Scoring!$B$2:$B$500,$B63,Scoring!$M$2:$M$500,Setup!$H$2))</x:f>
      </x:c>
      <x:c r="E63" s="18" t="str">
        <x:f>IF($B63="","",COUNTIFS(Scoring!$B$2:$B$500,$B63,Scoring!$N$2:$N$500,Setup!$H$5))</x:f>
      </x:c>
      <x:c r="F63" s="18" t="str">
        <x:f>IF($B63="","",COUNTIFS(Scoring!$B$2:$B$500,$B63,Scoring!$M$2:$M$500,Setup!$H$3))</x:f>
      </x:c>
      <x:c r="G63" s="18" t="str">
        <x:f>IF($B63="","",COUNTIFS(Scoring!$B$2:$B$500,$B63,Scoring!$L$2:$L$500,"Yes"))</x:f>
      </x:c>
      <x:c r="H63" s="18" t="str">
        <x:f>IF($B63="","",COUNTIFS(Scoring!$B$2:$B$500,$B63,Scoring!$L$2:$L$500,"Late"))</x:f>
      </x:c>
      <x:c r="I63" s="18" t="str">
        <x:f>IF($B63="","",IF(A63=1,"Current Champion",IF(E63=MAX($E$4:$E$103),"Score Sniper",IF(F63=MAX($F$4:$F$103),"VAR Victim","Contender"))))</x:f>
      </x:c>
    </x:row>
    <x:row r="64">
      <x:c r="A64" s="18" t="str">
        <x:f>IF($B64="","",RANK($C64,$C$4:$C$103,0)+COUNTIFS($C$4:$C64,$C64)-1)</x:f>
      </x:c>
      <x:c r="B64" s="18"/>
      <x:c r="C64" s="18" t="str">
        <x:f>IF($B64="","",SUMIF(Scoring!$B$2:$B$500,$B64,Scoring!$O$2:$O$500))</x:f>
      </x:c>
      <x:c r="D64" s="18" t="str">
        <x:f>IF($B64="","",COUNTIFS(Scoring!$B$2:$B$500,$B64,Scoring!$M$2:$M$500,Setup!$H$2))</x:f>
      </x:c>
      <x:c r="E64" s="18" t="str">
        <x:f>IF($B64="","",COUNTIFS(Scoring!$B$2:$B$500,$B64,Scoring!$N$2:$N$500,Setup!$H$5))</x:f>
      </x:c>
      <x:c r="F64" s="18" t="str">
        <x:f>IF($B64="","",COUNTIFS(Scoring!$B$2:$B$500,$B64,Scoring!$M$2:$M$500,Setup!$H$3))</x:f>
      </x:c>
      <x:c r="G64" s="18" t="str">
        <x:f>IF($B64="","",COUNTIFS(Scoring!$B$2:$B$500,$B64,Scoring!$L$2:$L$500,"Yes"))</x:f>
      </x:c>
      <x:c r="H64" s="18" t="str">
        <x:f>IF($B64="","",COUNTIFS(Scoring!$B$2:$B$500,$B64,Scoring!$L$2:$L$500,"Late"))</x:f>
      </x:c>
      <x:c r="I64" s="18" t="str">
        <x:f>IF($B64="","",IF(A64=1,"Current Champion",IF(E64=MAX($E$4:$E$103),"Score Sniper",IF(F64=MAX($F$4:$F$103),"VAR Victim","Contender"))))</x:f>
      </x:c>
    </x:row>
    <x:row r="65">
      <x:c r="A65" s="18" t="str">
        <x:f>IF($B65="","",RANK($C65,$C$4:$C$103,0)+COUNTIFS($C$4:$C65,$C65)-1)</x:f>
      </x:c>
      <x:c r="B65" s="18"/>
      <x:c r="C65" s="18" t="str">
        <x:f>IF($B65="","",SUMIF(Scoring!$B$2:$B$500,$B65,Scoring!$O$2:$O$500))</x:f>
      </x:c>
      <x:c r="D65" s="18" t="str">
        <x:f>IF($B65="","",COUNTIFS(Scoring!$B$2:$B$500,$B65,Scoring!$M$2:$M$500,Setup!$H$2))</x:f>
      </x:c>
      <x:c r="E65" s="18" t="str">
        <x:f>IF($B65="","",COUNTIFS(Scoring!$B$2:$B$500,$B65,Scoring!$N$2:$N$500,Setup!$H$5))</x:f>
      </x:c>
      <x:c r="F65" s="18" t="str">
        <x:f>IF($B65="","",COUNTIFS(Scoring!$B$2:$B$500,$B65,Scoring!$M$2:$M$500,Setup!$H$3))</x:f>
      </x:c>
      <x:c r="G65" s="18" t="str">
        <x:f>IF($B65="","",COUNTIFS(Scoring!$B$2:$B$500,$B65,Scoring!$L$2:$L$500,"Yes"))</x:f>
      </x:c>
      <x:c r="H65" s="18" t="str">
        <x:f>IF($B65="","",COUNTIFS(Scoring!$B$2:$B$500,$B65,Scoring!$L$2:$L$500,"Late"))</x:f>
      </x:c>
      <x:c r="I65" s="18" t="str">
        <x:f>IF($B65="","",IF(A65=1,"Current Champion",IF(E65=MAX($E$4:$E$103),"Score Sniper",IF(F65=MAX($F$4:$F$103),"VAR Victim","Contender"))))</x:f>
      </x:c>
    </x:row>
    <x:row r="66">
      <x:c r="A66" s="18" t="str">
        <x:f>IF($B66="","",RANK($C66,$C$4:$C$103,0)+COUNTIFS($C$4:$C66,$C66)-1)</x:f>
      </x:c>
      <x:c r="B66" s="18"/>
      <x:c r="C66" s="18" t="str">
        <x:f>IF($B66="","",SUMIF(Scoring!$B$2:$B$500,$B66,Scoring!$O$2:$O$500))</x:f>
      </x:c>
      <x:c r="D66" s="18" t="str">
        <x:f>IF($B66="","",COUNTIFS(Scoring!$B$2:$B$500,$B66,Scoring!$M$2:$M$500,Setup!$H$2))</x:f>
      </x:c>
      <x:c r="E66" s="18" t="str">
        <x:f>IF($B66="","",COUNTIFS(Scoring!$B$2:$B$500,$B66,Scoring!$N$2:$N$500,Setup!$H$5))</x:f>
      </x:c>
      <x:c r="F66" s="18" t="str">
        <x:f>IF($B66="","",COUNTIFS(Scoring!$B$2:$B$500,$B66,Scoring!$M$2:$M$500,Setup!$H$3))</x:f>
      </x:c>
      <x:c r="G66" s="18" t="str">
        <x:f>IF($B66="","",COUNTIFS(Scoring!$B$2:$B$500,$B66,Scoring!$L$2:$L$500,"Yes"))</x:f>
      </x:c>
      <x:c r="H66" s="18" t="str">
        <x:f>IF($B66="","",COUNTIFS(Scoring!$B$2:$B$500,$B66,Scoring!$L$2:$L$500,"Late"))</x:f>
      </x:c>
      <x:c r="I66" s="18" t="str">
        <x:f>IF($B66="","",IF(A66=1,"Current Champion",IF(E66=MAX($E$4:$E$103),"Score Sniper",IF(F66=MAX($F$4:$F$103),"VAR Victim","Contender"))))</x:f>
      </x:c>
    </x:row>
    <x:row r="67">
      <x:c r="A67" s="18" t="str">
        <x:f>IF($B67="","",RANK($C67,$C$4:$C$103,0)+COUNTIFS($C$4:$C67,$C67)-1)</x:f>
      </x:c>
      <x:c r="B67" s="18"/>
      <x:c r="C67" s="18" t="str">
        <x:f>IF($B67="","",SUMIF(Scoring!$B$2:$B$500,$B67,Scoring!$O$2:$O$500))</x:f>
      </x:c>
      <x:c r="D67" s="18" t="str">
        <x:f>IF($B67="","",COUNTIFS(Scoring!$B$2:$B$500,$B67,Scoring!$M$2:$M$500,Setup!$H$2))</x:f>
      </x:c>
      <x:c r="E67" s="18" t="str">
        <x:f>IF($B67="","",COUNTIFS(Scoring!$B$2:$B$500,$B67,Scoring!$N$2:$N$500,Setup!$H$5))</x:f>
      </x:c>
      <x:c r="F67" s="18" t="str">
        <x:f>IF($B67="","",COUNTIFS(Scoring!$B$2:$B$500,$B67,Scoring!$M$2:$M$500,Setup!$H$3))</x:f>
      </x:c>
      <x:c r="G67" s="18" t="str">
        <x:f>IF($B67="","",COUNTIFS(Scoring!$B$2:$B$500,$B67,Scoring!$L$2:$L$500,"Yes"))</x:f>
      </x:c>
      <x:c r="H67" s="18" t="str">
        <x:f>IF($B67="","",COUNTIFS(Scoring!$B$2:$B$500,$B67,Scoring!$L$2:$L$500,"Late"))</x:f>
      </x:c>
      <x:c r="I67" s="18" t="str">
        <x:f>IF($B67="","",IF(A67=1,"Current Champion",IF(E67=MAX($E$4:$E$103),"Score Sniper",IF(F67=MAX($F$4:$F$103),"VAR Victim","Contender"))))</x:f>
      </x:c>
    </x:row>
    <x:row r="68">
      <x:c r="A68" s="18" t="str">
        <x:f>IF($B68="","",RANK($C68,$C$4:$C$103,0)+COUNTIFS($C$4:$C68,$C68)-1)</x:f>
      </x:c>
      <x:c r="B68" s="18"/>
      <x:c r="C68" s="18" t="str">
        <x:f>IF($B68="","",SUMIF(Scoring!$B$2:$B$500,$B68,Scoring!$O$2:$O$500))</x:f>
      </x:c>
      <x:c r="D68" s="18" t="str">
        <x:f>IF($B68="","",COUNTIFS(Scoring!$B$2:$B$500,$B68,Scoring!$M$2:$M$500,Setup!$H$2))</x:f>
      </x:c>
      <x:c r="E68" s="18" t="str">
        <x:f>IF($B68="","",COUNTIFS(Scoring!$B$2:$B$500,$B68,Scoring!$N$2:$N$500,Setup!$H$5))</x:f>
      </x:c>
      <x:c r="F68" s="18" t="str">
        <x:f>IF($B68="","",COUNTIFS(Scoring!$B$2:$B$500,$B68,Scoring!$M$2:$M$500,Setup!$H$3))</x:f>
      </x:c>
      <x:c r="G68" s="18" t="str">
        <x:f>IF($B68="","",COUNTIFS(Scoring!$B$2:$B$500,$B68,Scoring!$L$2:$L$500,"Yes"))</x:f>
      </x:c>
      <x:c r="H68" s="18" t="str">
        <x:f>IF($B68="","",COUNTIFS(Scoring!$B$2:$B$500,$B68,Scoring!$L$2:$L$500,"Late"))</x:f>
      </x:c>
      <x:c r="I68" s="18" t="str">
        <x:f>IF($B68="","",IF(A68=1,"Current Champion",IF(E68=MAX($E$4:$E$103),"Score Sniper",IF(F68=MAX($F$4:$F$103),"VAR Victim","Contender"))))</x:f>
      </x:c>
    </x:row>
    <x:row r="69">
      <x:c r="A69" s="18" t="str">
        <x:f>IF($B69="","",RANK($C69,$C$4:$C$103,0)+COUNTIFS($C$4:$C69,$C69)-1)</x:f>
      </x:c>
      <x:c r="B69" s="18"/>
      <x:c r="C69" s="18" t="str">
        <x:f>IF($B69="","",SUMIF(Scoring!$B$2:$B$500,$B69,Scoring!$O$2:$O$500))</x:f>
      </x:c>
      <x:c r="D69" s="18" t="str">
        <x:f>IF($B69="","",COUNTIFS(Scoring!$B$2:$B$500,$B69,Scoring!$M$2:$M$500,Setup!$H$2))</x:f>
      </x:c>
      <x:c r="E69" s="18" t="str">
        <x:f>IF($B69="","",COUNTIFS(Scoring!$B$2:$B$500,$B69,Scoring!$N$2:$N$500,Setup!$H$5))</x:f>
      </x:c>
      <x:c r="F69" s="18" t="str">
        <x:f>IF($B69="","",COUNTIFS(Scoring!$B$2:$B$500,$B69,Scoring!$M$2:$M$500,Setup!$H$3))</x:f>
      </x:c>
      <x:c r="G69" s="18" t="str">
        <x:f>IF($B69="","",COUNTIFS(Scoring!$B$2:$B$500,$B69,Scoring!$L$2:$L$500,"Yes"))</x:f>
      </x:c>
      <x:c r="H69" s="18" t="str">
        <x:f>IF($B69="","",COUNTIFS(Scoring!$B$2:$B$500,$B69,Scoring!$L$2:$L$500,"Late"))</x:f>
      </x:c>
      <x:c r="I69" s="18" t="str">
        <x:f>IF($B69="","",IF(A69=1,"Current Champion",IF(E69=MAX($E$4:$E$103),"Score Sniper",IF(F69=MAX($F$4:$F$103),"VAR Victim","Contender"))))</x:f>
      </x:c>
    </x:row>
    <x:row r="70">
      <x:c r="A70" s="18" t="str">
        <x:f>IF($B70="","",RANK($C70,$C$4:$C$103,0)+COUNTIFS($C$4:$C70,$C70)-1)</x:f>
      </x:c>
      <x:c r="B70" s="18"/>
      <x:c r="C70" s="18" t="str">
        <x:f>IF($B70="","",SUMIF(Scoring!$B$2:$B$500,$B70,Scoring!$O$2:$O$500))</x:f>
      </x:c>
      <x:c r="D70" s="18" t="str">
        <x:f>IF($B70="","",COUNTIFS(Scoring!$B$2:$B$500,$B70,Scoring!$M$2:$M$500,Setup!$H$2))</x:f>
      </x:c>
      <x:c r="E70" s="18" t="str">
        <x:f>IF($B70="","",COUNTIFS(Scoring!$B$2:$B$500,$B70,Scoring!$N$2:$N$500,Setup!$H$5))</x:f>
      </x:c>
      <x:c r="F70" s="18" t="str">
        <x:f>IF($B70="","",COUNTIFS(Scoring!$B$2:$B$500,$B70,Scoring!$M$2:$M$500,Setup!$H$3))</x:f>
      </x:c>
      <x:c r="G70" s="18" t="str">
        <x:f>IF($B70="","",COUNTIFS(Scoring!$B$2:$B$500,$B70,Scoring!$L$2:$L$500,"Yes"))</x:f>
      </x:c>
      <x:c r="H70" s="18" t="str">
        <x:f>IF($B70="","",COUNTIFS(Scoring!$B$2:$B$500,$B70,Scoring!$L$2:$L$500,"Late"))</x:f>
      </x:c>
      <x:c r="I70" s="18" t="str">
        <x:f>IF($B70="","",IF(A70=1,"Current Champion",IF(E70=MAX($E$4:$E$103),"Score Sniper",IF(F70=MAX($F$4:$F$103),"VAR Victim","Contender"))))</x:f>
      </x:c>
    </x:row>
    <x:row r="71">
      <x:c r="A71" s="18" t="str">
        <x:f>IF($B71="","",RANK($C71,$C$4:$C$103,0)+COUNTIFS($C$4:$C71,$C71)-1)</x:f>
      </x:c>
      <x:c r="B71" s="18"/>
      <x:c r="C71" s="18" t="str">
        <x:f>IF($B71="","",SUMIF(Scoring!$B$2:$B$500,$B71,Scoring!$O$2:$O$500))</x:f>
      </x:c>
      <x:c r="D71" s="18" t="str">
        <x:f>IF($B71="","",COUNTIFS(Scoring!$B$2:$B$500,$B71,Scoring!$M$2:$M$500,Setup!$H$2))</x:f>
      </x:c>
      <x:c r="E71" s="18" t="str">
        <x:f>IF($B71="","",COUNTIFS(Scoring!$B$2:$B$500,$B71,Scoring!$N$2:$N$500,Setup!$H$5))</x:f>
      </x:c>
      <x:c r="F71" s="18" t="str">
        <x:f>IF($B71="","",COUNTIFS(Scoring!$B$2:$B$500,$B71,Scoring!$M$2:$M$500,Setup!$H$3))</x:f>
      </x:c>
      <x:c r="G71" s="18" t="str">
        <x:f>IF($B71="","",COUNTIFS(Scoring!$B$2:$B$500,$B71,Scoring!$L$2:$L$500,"Yes"))</x:f>
      </x:c>
      <x:c r="H71" s="18" t="str">
        <x:f>IF($B71="","",COUNTIFS(Scoring!$B$2:$B$500,$B71,Scoring!$L$2:$L$500,"Late"))</x:f>
      </x:c>
      <x:c r="I71" s="18" t="str">
        <x:f>IF($B71="","",IF(A71=1,"Current Champion",IF(E71=MAX($E$4:$E$103),"Score Sniper",IF(F71=MAX($F$4:$F$103),"VAR Victim","Contender"))))</x:f>
      </x:c>
    </x:row>
    <x:row r="72">
      <x:c r="A72" s="18" t="str">
        <x:f>IF($B72="","",RANK($C72,$C$4:$C$103,0)+COUNTIFS($C$4:$C72,$C72)-1)</x:f>
      </x:c>
      <x:c r="B72" s="18"/>
      <x:c r="C72" s="18" t="str">
        <x:f>IF($B72="","",SUMIF(Scoring!$B$2:$B$500,$B72,Scoring!$O$2:$O$500))</x:f>
      </x:c>
      <x:c r="D72" s="18" t="str">
        <x:f>IF($B72="","",COUNTIFS(Scoring!$B$2:$B$500,$B72,Scoring!$M$2:$M$500,Setup!$H$2))</x:f>
      </x:c>
      <x:c r="E72" s="18" t="str">
        <x:f>IF($B72="","",COUNTIFS(Scoring!$B$2:$B$500,$B72,Scoring!$N$2:$N$500,Setup!$H$5))</x:f>
      </x:c>
      <x:c r="F72" s="18" t="str">
        <x:f>IF($B72="","",COUNTIFS(Scoring!$B$2:$B$500,$B72,Scoring!$M$2:$M$500,Setup!$H$3))</x:f>
      </x:c>
      <x:c r="G72" s="18" t="str">
        <x:f>IF($B72="","",COUNTIFS(Scoring!$B$2:$B$500,$B72,Scoring!$L$2:$L$500,"Yes"))</x:f>
      </x:c>
      <x:c r="H72" s="18" t="str">
        <x:f>IF($B72="","",COUNTIFS(Scoring!$B$2:$B$500,$B72,Scoring!$L$2:$L$500,"Late"))</x:f>
      </x:c>
      <x:c r="I72" s="18" t="str">
        <x:f>IF($B72="","",IF(A72=1,"Current Champion",IF(E72=MAX($E$4:$E$103),"Score Sniper",IF(F72=MAX($F$4:$F$103),"VAR Victim","Contender"))))</x:f>
      </x:c>
    </x:row>
    <x:row r="73">
      <x:c r="A73" s="18" t="str">
        <x:f>IF($B73="","",RANK($C73,$C$4:$C$103,0)+COUNTIFS($C$4:$C73,$C73)-1)</x:f>
      </x:c>
      <x:c r="B73" s="18"/>
      <x:c r="C73" s="18" t="str">
        <x:f>IF($B73="","",SUMIF(Scoring!$B$2:$B$500,$B73,Scoring!$O$2:$O$500))</x:f>
      </x:c>
      <x:c r="D73" s="18" t="str">
        <x:f>IF($B73="","",COUNTIFS(Scoring!$B$2:$B$500,$B73,Scoring!$M$2:$M$500,Setup!$H$2))</x:f>
      </x:c>
      <x:c r="E73" s="18" t="str">
        <x:f>IF($B73="","",COUNTIFS(Scoring!$B$2:$B$500,$B73,Scoring!$N$2:$N$500,Setup!$H$5))</x:f>
      </x:c>
      <x:c r="F73" s="18" t="str">
        <x:f>IF($B73="","",COUNTIFS(Scoring!$B$2:$B$500,$B73,Scoring!$M$2:$M$500,Setup!$H$3))</x:f>
      </x:c>
      <x:c r="G73" s="18" t="str">
        <x:f>IF($B73="","",COUNTIFS(Scoring!$B$2:$B$500,$B73,Scoring!$L$2:$L$500,"Yes"))</x:f>
      </x:c>
      <x:c r="H73" s="18" t="str">
        <x:f>IF($B73="","",COUNTIFS(Scoring!$B$2:$B$500,$B73,Scoring!$L$2:$L$500,"Late"))</x:f>
      </x:c>
      <x:c r="I73" s="18" t="str">
        <x:f>IF($B73="","",IF(A73=1,"Current Champion",IF(E73=MAX($E$4:$E$103),"Score Sniper",IF(F73=MAX($F$4:$F$103),"VAR Victim","Contender"))))</x:f>
      </x:c>
    </x:row>
    <x:row r="74">
      <x:c r="A74" s="18" t="str">
        <x:f>IF($B74="","",RANK($C74,$C$4:$C$103,0)+COUNTIFS($C$4:$C74,$C74)-1)</x:f>
      </x:c>
      <x:c r="B74" s="18"/>
      <x:c r="C74" s="18" t="str">
        <x:f>IF($B74="","",SUMIF(Scoring!$B$2:$B$500,$B74,Scoring!$O$2:$O$500))</x:f>
      </x:c>
      <x:c r="D74" s="18" t="str">
        <x:f>IF($B74="","",COUNTIFS(Scoring!$B$2:$B$500,$B74,Scoring!$M$2:$M$500,Setup!$H$2))</x:f>
      </x:c>
      <x:c r="E74" s="18" t="str">
        <x:f>IF($B74="","",COUNTIFS(Scoring!$B$2:$B$500,$B74,Scoring!$N$2:$N$500,Setup!$H$5))</x:f>
      </x:c>
      <x:c r="F74" s="18" t="str">
        <x:f>IF($B74="","",COUNTIFS(Scoring!$B$2:$B$500,$B74,Scoring!$M$2:$M$500,Setup!$H$3))</x:f>
      </x:c>
      <x:c r="G74" s="18" t="str">
        <x:f>IF($B74="","",COUNTIFS(Scoring!$B$2:$B$500,$B74,Scoring!$L$2:$L$500,"Yes"))</x:f>
      </x:c>
      <x:c r="H74" s="18" t="str">
        <x:f>IF($B74="","",COUNTIFS(Scoring!$B$2:$B$500,$B74,Scoring!$L$2:$L$500,"Late"))</x:f>
      </x:c>
      <x:c r="I74" s="18" t="str">
        <x:f>IF($B74="","",IF(A74=1,"Current Champion",IF(E74=MAX($E$4:$E$103),"Score Sniper",IF(F74=MAX($F$4:$F$103),"VAR Victim","Contender"))))</x:f>
      </x:c>
    </x:row>
    <x:row r="75">
      <x:c r="A75" s="18" t="str">
        <x:f>IF($B75="","",RANK($C75,$C$4:$C$103,0)+COUNTIFS($C$4:$C75,$C75)-1)</x:f>
      </x:c>
      <x:c r="B75" s="18"/>
      <x:c r="C75" s="18" t="str">
        <x:f>IF($B75="","",SUMIF(Scoring!$B$2:$B$500,$B75,Scoring!$O$2:$O$500))</x:f>
      </x:c>
      <x:c r="D75" s="18" t="str">
        <x:f>IF($B75="","",COUNTIFS(Scoring!$B$2:$B$500,$B75,Scoring!$M$2:$M$500,Setup!$H$2))</x:f>
      </x:c>
      <x:c r="E75" s="18" t="str">
        <x:f>IF($B75="","",COUNTIFS(Scoring!$B$2:$B$500,$B75,Scoring!$N$2:$N$500,Setup!$H$5))</x:f>
      </x:c>
      <x:c r="F75" s="18" t="str">
        <x:f>IF($B75="","",COUNTIFS(Scoring!$B$2:$B$500,$B75,Scoring!$M$2:$M$500,Setup!$H$3))</x:f>
      </x:c>
      <x:c r="G75" s="18" t="str">
        <x:f>IF($B75="","",COUNTIFS(Scoring!$B$2:$B$500,$B75,Scoring!$L$2:$L$500,"Yes"))</x:f>
      </x:c>
      <x:c r="H75" s="18" t="str">
        <x:f>IF($B75="","",COUNTIFS(Scoring!$B$2:$B$500,$B75,Scoring!$L$2:$L$500,"Late"))</x:f>
      </x:c>
      <x:c r="I75" s="18" t="str">
        <x:f>IF($B75="","",IF(A75=1,"Current Champion",IF(E75=MAX($E$4:$E$103),"Score Sniper",IF(F75=MAX($F$4:$F$103),"VAR Victim","Contender"))))</x:f>
      </x:c>
    </x:row>
    <x:row r="76">
      <x:c r="A76" s="18" t="str">
        <x:f>IF($B76="","",RANK($C76,$C$4:$C$103,0)+COUNTIFS($C$4:$C76,$C76)-1)</x:f>
      </x:c>
      <x:c r="B76" s="18"/>
      <x:c r="C76" s="18" t="str">
        <x:f>IF($B76="","",SUMIF(Scoring!$B$2:$B$500,$B76,Scoring!$O$2:$O$500))</x:f>
      </x:c>
      <x:c r="D76" s="18" t="str">
        <x:f>IF($B76="","",COUNTIFS(Scoring!$B$2:$B$500,$B76,Scoring!$M$2:$M$500,Setup!$H$2))</x:f>
      </x:c>
      <x:c r="E76" s="18" t="str">
        <x:f>IF($B76="","",COUNTIFS(Scoring!$B$2:$B$500,$B76,Scoring!$N$2:$N$500,Setup!$H$5))</x:f>
      </x:c>
      <x:c r="F76" s="18" t="str">
        <x:f>IF($B76="","",COUNTIFS(Scoring!$B$2:$B$500,$B76,Scoring!$M$2:$M$500,Setup!$H$3))</x:f>
      </x:c>
      <x:c r="G76" s="18" t="str">
        <x:f>IF($B76="","",COUNTIFS(Scoring!$B$2:$B$500,$B76,Scoring!$L$2:$L$500,"Yes"))</x:f>
      </x:c>
      <x:c r="H76" s="18" t="str">
        <x:f>IF($B76="","",COUNTIFS(Scoring!$B$2:$B$500,$B76,Scoring!$L$2:$L$500,"Late"))</x:f>
      </x:c>
      <x:c r="I76" s="18" t="str">
        <x:f>IF($B76="","",IF(A76=1,"Current Champion",IF(E76=MAX($E$4:$E$103),"Score Sniper",IF(F76=MAX($F$4:$F$103),"VAR Victim","Contender"))))</x:f>
      </x:c>
    </x:row>
    <x:row r="77">
      <x:c r="A77" s="18" t="str">
        <x:f>IF($B77="","",RANK($C77,$C$4:$C$103,0)+COUNTIFS($C$4:$C77,$C77)-1)</x:f>
      </x:c>
      <x:c r="B77" s="18"/>
      <x:c r="C77" s="18" t="str">
        <x:f>IF($B77="","",SUMIF(Scoring!$B$2:$B$500,$B77,Scoring!$O$2:$O$500))</x:f>
      </x:c>
      <x:c r="D77" s="18" t="str">
        <x:f>IF($B77="","",COUNTIFS(Scoring!$B$2:$B$500,$B77,Scoring!$M$2:$M$500,Setup!$H$2))</x:f>
      </x:c>
      <x:c r="E77" s="18" t="str">
        <x:f>IF($B77="","",COUNTIFS(Scoring!$B$2:$B$500,$B77,Scoring!$N$2:$N$500,Setup!$H$5))</x:f>
      </x:c>
      <x:c r="F77" s="18" t="str">
        <x:f>IF($B77="","",COUNTIFS(Scoring!$B$2:$B$500,$B77,Scoring!$M$2:$M$500,Setup!$H$3))</x:f>
      </x:c>
      <x:c r="G77" s="18" t="str">
        <x:f>IF($B77="","",COUNTIFS(Scoring!$B$2:$B$500,$B77,Scoring!$L$2:$L$500,"Yes"))</x:f>
      </x:c>
      <x:c r="H77" s="18" t="str">
        <x:f>IF($B77="","",COUNTIFS(Scoring!$B$2:$B$500,$B77,Scoring!$L$2:$L$500,"Late"))</x:f>
      </x:c>
      <x:c r="I77" s="18" t="str">
        <x:f>IF($B77="","",IF(A77=1,"Current Champion",IF(E77=MAX($E$4:$E$103),"Score Sniper",IF(F77=MAX($F$4:$F$103),"VAR Victim","Contender"))))</x:f>
      </x:c>
    </x:row>
    <x:row r="78">
      <x:c r="A78" s="18" t="str">
        <x:f>IF($B78="","",RANK($C78,$C$4:$C$103,0)+COUNTIFS($C$4:$C78,$C78)-1)</x:f>
      </x:c>
      <x:c r="B78" s="18"/>
      <x:c r="C78" s="18" t="str">
        <x:f>IF($B78="","",SUMIF(Scoring!$B$2:$B$500,$B78,Scoring!$O$2:$O$500))</x:f>
      </x:c>
      <x:c r="D78" s="18" t="str">
        <x:f>IF($B78="","",COUNTIFS(Scoring!$B$2:$B$500,$B78,Scoring!$M$2:$M$500,Setup!$H$2))</x:f>
      </x:c>
      <x:c r="E78" s="18" t="str">
        <x:f>IF($B78="","",COUNTIFS(Scoring!$B$2:$B$500,$B78,Scoring!$N$2:$N$500,Setup!$H$5))</x:f>
      </x:c>
      <x:c r="F78" s="18" t="str">
        <x:f>IF($B78="","",COUNTIFS(Scoring!$B$2:$B$500,$B78,Scoring!$M$2:$M$500,Setup!$H$3))</x:f>
      </x:c>
      <x:c r="G78" s="18" t="str">
        <x:f>IF($B78="","",COUNTIFS(Scoring!$B$2:$B$500,$B78,Scoring!$L$2:$L$500,"Yes"))</x:f>
      </x:c>
      <x:c r="H78" s="18" t="str">
        <x:f>IF($B78="","",COUNTIFS(Scoring!$B$2:$B$500,$B78,Scoring!$L$2:$L$500,"Late"))</x:f>
      </x:c>
      <x:c r="I78" s="18" t="str">
        <x:f>IF($B78="","",IF(A78=1,"Current Champion",IF(E78=MAX($E$4:$E$103),"Score Sniper",IF(F78=MAX($F$4:$F$103),"VAR Victim","Contender"))))</x:f>
      </x:c>
    </x:row>
    <x:row r="79">
      <x:c r="A79" s="18" t="str">
        <x:f>IF($B79="","",RANK($C79,$C$4:$C$103,0)+COUNTIFS($C$4:$C79,$C79)-1)</x:f>
      </x:c>
      <x:c r="B79" s="18"/>
      <x:c r="C79" s="18" t="str">
        <x:f>IF($B79="","",SUMIF(Scoring!$B$2:$B$500,$B79,Scoring!$O$2:$O$500))</x:f>
      </x:c>
      <x:c r="D79" s="18" t="str">
        <x:f>IF($B79="","",COUNTIFS(Scoring!$B$2:$B$500,$B79,Scoring!$M$2:$M$500,Setup!$H$2))</x:f>
      </x:c>
      <x:c r="E79" s="18" t="str">
        <x:f>IF($B79="","",COUNTIFS(Scoring!$B$2:$B$500,$B79,Scoring!$N$2:$N$500,Setup!$H$5))</x:f>
      </x:c>
      <x:c r="F79" s="18" t="str">
        <x:f>IF($B79="","",COUNTIFS(Scoring!$B$2:$B$500,$B79,Scoring!$M$2:$M$500,Setup!$H$3))</x:f>
      </x:c>
      <x:c r="G79" s="18" t="str">
        <x:f>IF($B79="","",COUNTIFS(Scoring!$B$2:$B$500,$B79,Scoring!$L$2:$L$500,"Yes"))</x:f>
      </x:c>
      <x:c r="H79" s="18" t="str">
        <x:f>IF($B79="","",COUNTIFS(Scoring!$B$2:$B$500,$B79,Scoring!$L$2:$L$500,"Late"))</x:f>
      </x:c>
      <x:c r="I79" s="18" t="str">
        <x:f>IF($B79="","",IF(A79=1,"Current Champion",IF(E79=MAX($E$4:$E$103),"Score Sniper",IF(F79=MAX($F$4:$F$103),"VAR Victim","Contender"))))</x:f>
      </x:c>
    </x:row>
    <x:row r="80">
      <x:c r="A80" s="18" t="str">
        <x:f>IF($B80="","",RANK($C80,$C$4:$C$103,0)+COUNTIFS($C$4:$C80,$C80)-1)</x:f>
      </x:c>
      <x:c r="B80" s="18"/>
      <x:c r="C80" s="18" t="str">
        <x:f>IF($B80="","",SUMIF(Scoring!$B$2:$B$500,$B80,Scoring!$O$2:$O$500))</x:f>
      </x:c>
      <x:c r="D80" s="18" t="str">
        <x:f>IF($B80="","",COUNTIFS(Scoring!$B$2:$B$500,$B80,Scoring!$M$2:$M$500,Setup!$H$2))</x:f>
      </x:c>
      <x:c r="E80" s="18" t="str">
        <x:f>IF($B80="","",COUNTIFS(Scoring!$B$2:$B$500,$B80,Scoring!$N$2:$N$500,Setup!$H$5))</x:f>
      </x:c>
      <x:c r="F80" s="18" t="str">
        <x:f>IF($B80="","",COUNTIFS(Scoring!$B$2:$B$500,$B80,Scoring!$M$2:$M$500,Setup!$H$3))</x:f>
      </x:c>
      <x:c r="G80" s="18" t="str">
        <x:f>IF($B80="","",COUNTIFS(Scoring!$B$2:$B$500,$B80,Scoring!$L$2:$L$500,"Yes"))</x:f>
      </x:c>
      <x:c r="H80" s="18" t="str">
        <x:f>IF($B80="","",COUNTIFS(Scoring!$B$2:$B$500,$B80,Scoring!$L$2:$L$500,"Late"))</x:f>
      </x:c>
      <x:c r="I80" s="18" t="str">
        <x:f>IF($B80="","",IF(A80=1,"Current Champion",IF(E80=MAX($E$4:$E$103),"Score Sniper",IF(F80=MAX($F$4:$F$103),"VAR Victim","Contender"))))</x:f>
      </x:c>
    </x:row>
    <x:row r="81">
      <x:c r="A81" s="18" t="str">
        <x:f>IF($B81="","",RANK($C81,$C$4:$C$103,0)+COUNTIFS($C$4:$C81,$C81)-1)</x:f>
      </x:c>
      <x:c r="B81" s="18"/>
      <x:c r="C81" s="18" t="str">
        <x:f>IF($B81="","",SUMIF(Scoring!$B$2:$B$500,$B81,Scoring!$O$2:$O$500))</x:f>
      </x:c>
      <x:c r="D81" s="18" t="str">
        <x:f>IF($B81="","",COUNTIFS(Scoring!$B$2:$B$500,$B81,Scoring!$M$2:$M$500,Setup!$H$2))</x:f>
      </x:c>
      <x:c r="E81" s="18" t="str">
        <x:f>IF($B81="","",COUNTIFS(Scoring!$B$2:$B$500,$B81,Scoring!$N$2:$N$500,Setup!$H$5))</x:f>
      </x:c>
      <x:c r="F81" s="18" t="str">
        <x:f>IF($B81="","",COUNTIFS(Scoring!$B$2:$B$500,$B81,Scoring!$M$2:$M$500,Setup!$H$3))</x:f>
      </x:c>
      <x:c r="G81" s="18" t="str">
        <x:f>IF($B81="","",COUNTIFS(Scoring!$B$2:$B$500,$B81,Scoring!$L$2:$L$500,"Yes"))</x:f>
      </x:c>
      <x:c r="H81" s="18" t="str">
        <x:f>IF($B81="","",COUNTIFS(Scoring!$B$2:$B$500,$B81,Scoring!$L$2:$L$500,"Late"))</x:f>
      </x:c>
      <x:c r="I81" s="18" t="str">
        <x:f>IF($B81="","",IF(A81=1,"Current Champion",IF(E81=MAX($E$4:$E$103),"Score Sniper",IF(F81=MAX($F$4:$F$103),"VAR Victim","Contender"))))</x:f>
      </x:c>
    </x:row>
    <x:row r="82">
      <x:c r="A82" s="18" t="str">
        <x:f>IF($B82="","",RANK($C82,$C$4:$C$103,0)+COUNTIFS($C$4:$C82,$C82)-1)</x:f>
      </x:c>
      <x:c r="B82" s="18"/>
      <x:c r="C82" s="18" t="str">
        <x:f>IF($B82="","",SUMIF(Scoring!$B$2:$B$500,$B82,Scoring!$O$2:$O$500))</x:f>
      </x:c>
      <x:c r="D82" s="18" t="str">
        <x:f>IF($B82="","",COUNTIFS(Scoring!$B$2:$B$500,$B82,Scoring!$M$2:$M$500,Setup!$H$2))</x:f>
      </x:c>
      <x:c r="E82" s="18" t="str">
        <x:f>IF($B82="","",COUNTIFS(Scoring!$B$2:$B$500,$B82,Scoring!$N$2:$N$500,Setup!$H$5))</x:f>
      </x:c>
      <x:c r="F82" s="18" t="str">
        <x:f>IF($B82="","",COUNTIFS(Scoring!$B$2:$B$500,$B82,Scoring!$M$2:$M$500,Setup!$H$3))</x:f>
      </x:c>
      <x:c r="G82" s="18" t="str">
        <x:f>IF($B82="","",COUNTIFS(Scoring!$B$2:$B$500,$B82,Scoring!$L$2:$L$500,"Yes"))</x:f>
      </x:c>
      <x:c r="H82" s="18" t="str">
        <x:f>IF($B82="","",COUNTIFS(Scoring!$B$2:$B$500,$B82,Scoring!$L$2:$L$500,"Late"))</x:f>
      </x:c>
      <x:c r="I82" s="18" t="str">
        <x:f>IF($B82="","",IF(A82=1,"Current Champion",IF(E82=MAX($E$4:$E$103),"Score Sniper",IF(F82=MAX($F$4:$F$103),"VAR Victim","Contender"))))</x:f>
      </x:c>
    </x:row>
    <x:row r="83">
      <x:c r="A83" s="18" t="str">
        <x:f>IF($B83="","",RANK($C83,$C$4:$C$103,0)+COUNTIFS($C$4:$C83,$C83)-1)</x:f>
      </x:c>
      <x:c r="B83" s="18"/>
      <x:c r="C83" s="18" t="str">
        <x:f>IF($B83="","",SUMIF(Scoring!$B$2:$B$500,$B83,Scoring!$O$2:$O$500))</x:f>
      </x:c>
      <x:c r="D83" s="18" t="str">
        <x:f>IF($B83="","",COUNTIFS(Scoring!$B$2:$B$500,$B83,Scoring!$M$2:$M$500,Setup!$H$2))</x:f>
      </x:c>
      <x:c r="E83" s="18" t="str">
        <x:f>IF($B83="","",COUNTIFS(Scoring!$B$2:$B$500,$B83,Scoring!$N$2:$N$500,Setup!$H$5))</x:f>
      </x:c>
      <x:c r="F83" s="18" t="str">
        <x:f>IF($B83="","",COUNTIFS(Scoring!$B$2:$B$500,$B83,Scoring!$M$2:$M$500,Setup!$H$3))</x:f>
      </x:c>
      <x:c r="G83" s="18" t="str">
        <x:f>IF($B83="","",COUNTIFS(Scoring!$B$2:$B$500,$B83,Scoring!$L$2:$L$500,"Yes"))</x:f>
      </x:c>
      <x:c r="H83" s="18" t="str">
        <x:f>IF($B83="","",COUNTIFS(Scoring!$B$2:$B$500,$B83,Scoring!$L$2:$L$500,"Late"))</x:f>
      </x:c>
      <x:c r="I83" s="18" t="str">
        <x:f>IF($B83="","",IF(A83=1,"Current Champion",IF(E83=MAX($E$4:$E$103),"Score Sniper",IF(F83=MAX($F$4:$F$103),"VAR Victim","Contender"))))</x:f>
      </x:c>
    </x:row>
    <x:row r="84">
      <x:c r="A84" s="18" t="str">
        <x:f>IF($B84="","",RANK($C84,$C$4:$C$103,0)+COUNTIFS($C$4:$C84,$C84)-1)</x:f>
      </x:c>
      <x:c r="B84" s="18"/>
      <x:c r="C84" s="18" t="str">
        <x:f>IF($B84="","",SUMIF(Scoring!$B$2:$B$500,$B84,Scoring!$O$2:$O$500))</x:f>
      </x:c>
      <x:c r="D84" s="18" t="str">
        <x:f>IF($B84="","",COUNTIFS(Scoring!$B$2:$B$500,$B84,Scoring!$M$2:$M$500,Setup!$H$2))</x:f>
      </x:c>
      <x:c r="E84" s="18" t="str">
        <x:f>IF($B84="","",COUNTIFS(Scoring!$B$2:$B$500,$B84,Scoring!$N$2:$N$500,Setup!$H$5))</x:f>
      </x:c>
      <x:c r="F84" s="18" t="str">
        <x:f>IF($B84="","",COUNTIFS(Scoring!$B$2:$B$500,$B84,Scoring!$M$2:$M$500,Setup!$H$3))</x:f>
      </x:c>
      <x:c r="G84" s="18" t="str">
        <x:f>IF($B84="","",COUNTIFS(Scoring!$B$2:$B$500,$B84,Scoring!$L$2:$L$500,"Yes"))</x:f>
      </x:c>
      <x:c r="H84" s="18" t="str">
        <x:f>IF($B84="","",COUNTIFS(Scoring!$B$2:$B$500,$B84,Scoring!$L$2:$L$500,"Late"))</x:f>
      </x:c>
      <x:c r="I84" s="18" t="str">
        <x:f>IF($B84="","",IF(A84=1,"Current Champion",IF(E84=MAX($E$4:$E$103),"Score Sniper",IF(F84=MAX($F$4:$F$103),"VAR Victim","Contender"))))</x:f>
      </x:c>
    </x:row>
    <x:row r="85">
      <x:c r="A85" s="18" t="str">
        <x:f>IF($B85="","",RANK($C85,$C$4:$C$103,0)+COUNTIFS($C$4:$C85,$C85)-1)</x:f>
      </x:c>
      <x:c r="B85" s="18"/>
      <x:c r="C85" s="18" t="str">
        <x:f>IF($B85="","",SUMIF(Scoring!$B$2:$B$500,$B85,Scoring!$O$2:$O$500))</x:f>
      </x:c>
      <x:c r="D85" s="18" t="str">
        <x:f>IF($B85="","",COUNTIFS(Scoring!$B$2:$B$500,$B85,Scoring!$M$2:$M$500,Setup!$H$2))</x:f>
      </x:c>
      <x:c r="E85" s="18" t="str">
        <x:f>IF($B85="","",COUNTIFS(Scoring!$B$2:$B$500,$B85,Scoring!$N$2:$N$500,Setup!$H$5))</x:f>
      </x:c>
      <x:c r="F85" s="18" t="str">
        <x:f>IF($B85="","",COUNTIFS(Scoring!$B$2:$B$500,$B85,Scoring!$M$2:$M$500,Setup!$H$3))</x:f>
      </x:c>
      <x:c r="G85" s="18" t="str">
        <x:f>IF($B85="","",COUNTIFS(Scoring!$B$2:$B$500,$B85,Scoring!$L$2:$L$500,"Yes"))</x:f>
      </x:c>
      <x:c r="H85" s="18" t="str">
        <x:f>IF($B85="","",COUNTIFS(Scoring!$B$2:$B$500,$B85,Scoring!$L$2:$L$500,"Late"))</x:f>
      </x:c>
      <x:c r="I85" s="18" t="str">
        <x:f>IF($B85="","",IF(A85=1,"Current Champion",IF(E85=MAX($E$4:$E$103),"Score Sniper",IF(F85=MAX($F$4:$F$103),"VAR Victim","Contender"))))</x:f>
      </x:c>
    </x:row>
    <x:row r="86">
      <x:c r="A86" s="18" t="str">
        <x:f>IF($B86="","",RANK($C86,$C$4:$C$103,0)+COUNTIFS($C$4:$C86,$C86)-1)</x:f>
      </x:c>
      <x:c r="B86" s="18"/>
      <x:c r="C86" s="18" t="str">
        <x:f>IF($B86="","",SUMIF(Scoring!$B$2:$B$500,$B86,Scoring!$O$2:$O$500))</x:f>
      </x:c>
      <x:c r="D86" s="18" t="str">
        <x:f>IF($B86="","",COUNTIFS(Scoring!$B$2:$B$500,$B86,Scoring!$M$2:$M$500,Setup!$H$2))</x:f>
      </x:c>
      <x:c r="E86" s="18" t="str">
        <x:f>IF($B86="","",COUNTIFS(Scoring!$B$2:$B$500,$B86,Scoring!$N$2:$N$500,Setup!$H$5))</x:f>
      </x:c>
      <x:c r="F86" s="18" t="str">
        <x:f>IF($B86="","",COUNTIFS(Scoring!$B$2:$B$500,$B86,Scoring!$M$2:$M$500,Setup!$H$3))</x:f>
      </x:c>
      <x:c r="G86" s="18" t="str">
        <x:f>IF($B86="","",COUNTIFS(Scoring!$B$2:$B$500,$B86,Scoring!$L$2:$L$500,"Yes"))</x:f>
      </x:c>
      <x:c r="H86" s="18" t="str">
        <x:f>IF($B86="","",COUNTIFS(Scoring!$B$2:$B$500,$B86,Scoring!$L$2:$L$500,"Late"))</x:f>
      </x:c>
      <x:c r="I86" s="18" t="str">
        <x:f>IF($B86="","",IF(A86=1,"Current Champion",IF(E86=MAX($E$4:$E$103),"Score Sniper",IF(F86=MAX($F$4:$F$103),"VAR Victim","Contender"))))</x:f>
      </x:c>
    </x:row>
    <x:row r="87">
      <x:c r="A87" s="18" t="str">
        <x:f>IF($B87="","",RANK($C87,$C$4:$C$103,0)+COUNTIFS($C$4:$C87,$C87)-1)</x:f>
      </x:c>
      <x:c r="B87" s="18"/>
      <x:c r="C87" s="18" t="str">
        <x:f>IF($B87="","",SUMIF(Scoring!$B$2:$B$500,$B87,Scoring!$O$2:$O$500))</x:f>
      </x:c>
      <x:c r="D87" s="18" t="str">
        <x:f>IF($B87="","",COUNTIFS(Scoring!$B$2:$B$500,$B87,Scoring!$M$2:$M$500,Setup!$H$2))</x:f>
      </x:c>
      <x:c r="E87" s="18" t="str">
        <x:f>IF($B87="","",COUNTIFS(Scoring!$B$2:$B$500,$B87,Scoring!$N$2:$N$500,Setup!$H$5))</x:f>
      </x:c>
      <x:c r="F87" s="18" t="str">
        <x:f>IF($B87="","",COUNTIFS(Scoring!$B$2:$B$500,$B87,Scoring!$M$2:$M$500,Setup!$H$3))</x:f>
      </x:c>
      <x:c r="G87" s="18" t="str">
        <x:f>IF($B87="","",COUNTIFS(Scoring!$B$2:$B$500,$B87,Scoring!$L$2:$L$500,"Yes"))</x:f>
      </x:c>
      <x:c r="H87" s="18" t="str">
        <x:f>IF($B87="","",COUNTIFS(Scoring!$B$2:$B$500,$B87,Scoring!$L$2:$L$500,"Late"))</x:f>
      </x:c>
      <x:c r="I87" s="18" t="str">
        <x:f>IF($B87="","",IF(A87=1,"Current Champion",IF(E87=MAX($E$4:$E$103),"Score Sniper",IF(F87=MAX($F$4:$F$103),"VAR Victim","Contender"))))</x:f>
      </x:c>
    </x:row>
    <x:row r="88">
      <x:c r="A88" s="18" t="str">
        <x:f>IF($B88="","",RANK($C88,$C$4:$C$103,0)+COUNTIFS($C$4:$C88,$C88)-1)</x:f>
      </x:c>
      <x:c r="B88" s="18"/>
      <x:c r="C88" s="18" t="str">
        <x:f>IF($B88="","",SUMIF(Scoring!$B$2:$B$500,$B88,Scoring!$O$2:$O$500))</x:f>
      </x:c>
      <x:c r="D88" s="18" t="str">
        <x:f>IF($B88="","",COUNTIFS(Scoring!$B$2:$B$500,$B88,Scoring!$M$2:$M$500,Setup!$H$2))</x:f>
      </x:c>
      <x:c r="E88" s="18" t="str">
        <x:f>IF($B88="","",COUNTIFS(Scoring!$B$2:$B$500,$B88,Scoring!$N$2:$N$500,Setup!$H$5))</x:f>
      </x:c>
      <x:c r="F88" s="18" t="str">
        <x:f>IF($B88="","",COUNTIFS(Scoring!$B$2:$B$500,$B88,Scoring!$M$2:$M$500,Setup!$H$3))</x:f>
      </x:c>
      <x:c r="G88" s="18" t="str">
        <x:f>IF($B88="","",COUNTIFS(Scoring!$B$2:$B$500,$B88,Scoring!$L$2:$L$500,"Yes"))</x:f>
      </x:c>
      <x:c r="H88" s="18" t="str">
        <x:f>IF($B88="","",COUNTIFS(Scoring!$B$2:$B$500,$B88,Scoring!$L$2:$L$500,"Late"))</x:f>
      </x:c>
      <x:c r="I88" s="18" t="str">
        <x:f>IF($B88="","",IF(A88=1,"Current Champion",IF(E88=MAX($E$4:$E$103),"Score Sniper",IF(F88=MAX($F$4:$F$103),"VAR Victim","Contender"))))</x:f>
      </x:c>
    </x:row>
    <x:row r="89">
      <x:c r="A89" s="18" t="str">
        <x:f>IF($B89="","",RANK($C89,$C$4:$C$103,0)+COUNTIFS($C$4:$C89,$C89)-1)</x:f>
      </x:c>
      <x:c r="B89" s="18"/>
      <x:c r="C89" s="18" t="str">
        <x:f>IF($B89="","",SUMIF(Scoring!$B$2:$B$500,$B89,Scoring!$O$2:$O$500))</x:f>
      </x:c>
      <x:c r="D89" s="18" t="str">
        <x:f>IF($B89="","",COUNTIFS(Scoring!$B$2:$B$500,$B89,Scoring!$M$2:$M$500,Setup!$H$2))</x:f>
      </x:c>
      <x:c r="E89" s="18" t="str">
        <x:f>IF($B89="","",COUNTIFS(Scoring!$B$2:$B$500,$B89,Scoring!$N$2:$N$500,Setup!$H$5))</x:f>
      </x:c>
      <x:c r="F89" s="18" t="str">
        <x:f>IF($B89="","",COUNTIFS(Scoring!$B$2:$B$500,$B89,Scoring!$M$2:$M$500,Setup!$H$3))</x:f>
      </x:c>
      <x:c r="G89" s="18" t="str">
        <x:f>IF($B89="","",COUNTIFS(Scoring!$B$2:$B$500,$B89,Scoring!$L$2:$L$500,"Yes"))</x:f>
      </x:c>
      <x:c r="H89" s="18" t="str">
        <x:f>IF($B89="","",COUNTIFS(Scoring!$B$2:$B$500,$B89,Scoring!$L$2:$L$500,"Late"))</x:f>
      </x:c>
      <x:c r="I89" s="18" t="str">
        <x:f>IF($B89="","",IF(A89=1,"Current Champion",IF(E89=MAX($E$4:$E$103),"Score Sniper",IF(F89=MAX($F$4:$F$103),"VAR Victim","Contender"))))</x:f>
      </x:c>
    </x:row>
    <x:row r="90">
      <x:c r="A90" s="18" t="str">
        <x:f>IF($B90="","",RANK($C90,$C$4:$C$103,0)+COUNTIFS($C$4:$C90,$C90)-1)</x:f>
      </x:c>
      <x:c r="B90" s="18"/>
      <x:c r="C90" s="18" t="str">
        <x:f>IF($B90="","",SUMIF(Scoring!$B$2:$B$500,$B90,Scoring!$O$2:$O$500))</x:f>
      </x:c>
      <x:c r="D90" s="18" t="str">
        <x:f>IF($B90="","",COUNTIFS(Scoring!$B$2:$B$500,$B90,Scoring!$M$2:$M$500,Setup!$H$2))</x:f>
      </x:c>
      <x:c r="E90" s="18" t="str">
        <x:f>IF($B90="","",COUNTIFS(Scoring!$B$2:$B$500,$B90,Scoring!$N$2:$N$500,Setup!$H$5))</x:f>
      </x:c>
      <x:c r="F90" s="18" t="str">
        <x:f>IF($B90="","",COUNTIFS(Scoring!$B$2:$B$500,$B90,Scoring!$M$2:$M$500,Setup!$H$3))</x:f>
      </x:c>
      <x:c r="G90" s="18" t="str">
        <x:f>IF($B90="","",COUNTIFS(Scoring!$B$2:$B$500,$B90,Scoring!$L$2:$L$500,"Yes"))</x:f>
      </x:c>
      <x:c r="H90" s="18" t="str">
        <x:f>IF($B90="","",COUNTIFS(Scoring!$B$2:$B$500,$B90,Scoring!$L$2:$L$500,"Late"))</x:f>
      </x:c>
      <x:c r="I90" s="18" t="str">
        <x:f>IF($B90="","",IF(A90=1,"Current Champion",IF(E90=MAX($E$4:$E$103),"Score Sniper",IF(F90=MAX($F$4:$F$103),"VAR Victim","Contender"))))</x:f>
      </x:c>
    </x:row>
    <x:row r="91">
      <x:c r="A91" s="18" t="str">
        <x:f>IF($B91="","",RANK($C91,$C$4:$C$103,0)+COUNTIFS($C$4:$C91,$C91)-1)</x:f>
      </x:c>
      <x:c r="B91" s="18"/>
      <x:c r="C91" s="18" t="str">
        <x:f>IF($B91="","",SUMIF(Scoring!$B$2:$B$500,$B91,Scoring!$O$2:$O$500))</x:f>
      </x:c>
      <x:c r="D91" s="18" t="str">
        <x:f>IF($B91="","",COUNTIFS(Scoring!$B$2:$B$500,$B91,Scoring!$M$2:$M$500,Setup!$H$2))</x:f>
      </x:c>
      <x:c r="E91" s="18" t="str">
        <x:f>IF($B91="","",COUNTIFS(Scoring!$B$2:$B$500,$B91,Scoring!$N$2:$N$500,Setup!$H$5))</x:f>
      </x:c>
      <x:c r="F91" s="18" t="str">
        <x:f>IF($B91="","",COUNTIFS(Scoring!$B$2:$B$500,$B91,Scoring!$M$2:$M$500,Setup!$H$3))</x:f>
      </x:c>
      <x:c r="G91" s="18" t="str">
        <x:f>IF($B91="","",COUNTIFS(Scoring!$B$2:$B$500,$B91,Scoring!$L$2:$L$500,"Yes"))</x:f>
      </x:c>
      <x:c r="H91" s="18" t="str">
        <x:f>IF($B91="","",COUNTIFS(Scoring!$B$2:$B$500,$B91,Scoring!$L$2:$L$500,"Late"))</x:f>
      </x:c>
      <x:c r="I91" s="18" t="str">
        <x:f>IF($B91="","",IF(A91=1,"Current Champion",IF(E91=MAX($E$4:$E$103),"Score Sniper",IF(F91=MAX($F$4:$F$103),"VAR Victim","Contender"))))</x:f>
      </x:c>
    </x:row>
    <x:row r="92">
      <x:c r="A92" s="18" t="str">
        <x:f>IF($B92="","",RANK($C92,$C$4:$C$103,0)+COUNTIFS($C$4:$C92,$C92)-1)</x:f>
      </x:c>
      <x:c r="B92" s="18"/>
      <x:c r="C92" s="18" t="str">
        <x:f>IF($B92="","",SUMIF(Scoring!$B$2:$B$500,$B92,Scoring!$O$2:$O$500))</x:f>
      </x:c>
      <x:c r="D92" s="18" t="str">
        <x:f>IF($B92="","",COUNTIFS(Scoring!$B$2:$B$500,$B92,Scoring!$M$2:$M$500,Setup!$H$2))</x:f>
      </x:c>
      <x:c r="E92" s="18" t="str">
        <x:f>IF($B92="","",COUNTIFS(Scoring!$B$2:$B$500,$B92,Scoring!$N$2:$N$500,Setup!$H$5))</x:f>
      </x:c>
      <x:c r="F92" s="18" t="str">
        <x:f>IF($B92="","",COUNTIFS(Scoring!$B$2:$B$500,$B92,Scoring!$M$2:$M$500,Setup!$H$3))</x:f>
      </x:c>
      <x:c r="G92" s="18" t="str">
        <x:f>IF($B92="","",COUNTIFS(Scoring!$B$2:$B$500,$B92,Scoring!$L$2:$L$500,"Yes"))</x:f>
      </x:c>
      <x:c r="H92" s="18" t="str">
        <x:f>IF($B92="","",COUNTIFS(Scoring!$B$2:$B$500,$B92,Scoring!$L$2:$L$500,"Late"))</x:f>
      </x:c>
      <x:c r="I92" s="18" t="str">
        <x:f>IF($B92="","",IF(A92=1,"Current Champion",IF(E92=MAX($E$4:$E$103),"Score Sniper",IF(F92=MAX($F$4:$F$103),"VAR Victim","Contender"))))</x:f>
      </x:c>
    </x:row>
    <x:row r="93">
      <x:c r="A93" s="18" t="str">
        <x:f>IF($B93="","",RANK($C93,$C$4:$C$103,0)+COUNTIFS($C$4:$C93,$C93)-1)</x:f>
      </x:c>
      <x:c r="B93" s="18"/>
      <x:c r="C93" s="18" t="str">
        <x:f>IF($B93="","",SUMIF(Scoring!$B$2:$B$500,$B93,Scoring!$O$2:$O$500))</x:f>
      </x:c>
      <x:c r="D93" s="18" t="str">
        <x:f>IF($B93="","",COUNTIFS(Scoring!$B$2:$B$500,$B93,Scoring!$M$2:$M$500,Setup!$H$2))</x:f>
      </x:c>
      <x:c r="E93" s="18" t="str">
        <x:f>IF($B93="","",COUNTIFS(Scoring!$B$2:$B$500,$B93,Scoring!$N$2:$N$500,Setup!$H$5))</x:f>
      </x:c>
      <x:c r="F93" s="18" t="str">
        <x:f>IF($B93="","",COUNTIFS(Scoring!$B$2:$B$500,$B93,Scoring!$M$2:$M$500,Setup!$H$3))</x:f>
      </x:c>
      <x:c r="G93" s="18" t="str">
        <x:f>IF($B93="","",COUNTIFS(Scoring!$B$2:$B$500,$B93,Scoring!$L$2:$L$500,"Yes"))</x:f>
      </x:c>
      <x:c r="H93" s="18" t="str">
        <x:f>IF($B93="","",COUNTIFS(Scoring!$B$2:$B$500,$B93,Scoring!$L$2:$L$500,"Late"))</x:f>
      </x:c>
      <x:c r="I93" s="18" t="str">
        <x:f>IF($B93="","",IF(A93=1,"Current Champion",IF(E93=MAX($E$4:$E$103),"Score Sniper",IF(F93=MAX($F$4:$F$103),"VAR Victim","Contender"))))</x:f>
      </x:c>
    </x:row>
    <x:row r="94">
      <x:c r="A94" s="18" t="str">
        <x:f>IF($B94="","",RANK($C94,$C$4:$C$103,0)+COUNTIFS($C$4:$C94,$C94)-1)</x:f>
      </x:c>
      <x:c r="B94" s="18"/>
      <x:c r="C94" s="18" t="str">
        <x:f>IF($B94="","",SUMIF(Scoring!$B$2:$B$500,$B94,Scoring!$O$2:$O$500))</x:f>
      </x:c>
      <x:c r="D94" s="18" t="str">
        <x:f>IF($B94="","",COUNTIFS(Scoring!$B$2:$B$500,$B94,Scoring!$M$2:$M$500,Setup!$H$2))</x:f>
      </x:c>
      <x:c r="E94" s="18" t="str">
        <x:f>IF($B94="","",COUNTIFS(Scoring!$B$2:$B$500,$B94,Scoring!$N$2:$N$500,Setup!$H$5))</x:f>
      </x:c>
      <x:c r="F94" s="18" t="str">
        <x:f>IF($B94="","",COUNTIFS(Scoring!$B$2:$B$500,$B94,Scoring!$M$2:$M$500,Setup!$H$3))</x:f>
      </x:c>
      <x:c r="G94" s="18" t="str">
        <x:f>IF($B94="","",COUNTIFS(Scoring!$B$2:$B$500,$B94,Scoring!$L$2:$L$500,"Yes"))</x:f>
      </x:c>
      <x:c r="H94" s="18" t="str">
        <x:f>IF($B94="","",COUNTIFS(Scoring!$B$2:$B$500,$B94,Scoring!$L$2:$L$500,"Late"))</x:f>
      </x:c>
      <x:c r="I94" s="18" t="str">
        <x:f>IF($B94="","",IF(A94=1,"Current Champion",IF(E94=MAX($E$4:$E$103),"Score Sniper",IF(F94=MAX($F$4:$F$103),"VAR Victim","Contender"))))</x:f>
      </x:c>
    </x:row>
    <x:row r="95">
      <x:c r="A95" s="18" t="str">
        <x:f>IF($B95="","",RANK($C95,$C$4:$C$103,0)+COUNTIFS($C$4:$C95,$C95)-1)</x:f>
      </x:c>
      <x:c r="B95" s="18"/>
      <x:c r="C95" s="18" t="str">
        <x:f>IF($B95="","",SUMIF(Scoring!$B$2:$B$500,$B95,Scoring!$O$2:$O$500))</x:f>
      </x:c>
      <x:c r="D95" s="18" t="str">
        <x:f>IF($B95="","",COUNTIFS(Scoring!$B$2:$B$500,$B95,Scoring!$M$2:$M$500,Setup!$H$2))</x:f>
      </x:c>
      <x:c r="E95" s="18" t="str">
        <x:f>IF($B95="","",COUNTIFS(Scoring!$B$2:$B$500,$B95,Scoring!$N$2:$N$500,Setup!$H$5))</x:f>
      </x:c>
      <x:c r="F95" s="18" t="str">
        <x:f>IF($B95="","",COUNTIFS(Scoring!$B$2:$B$500,$B95,Scoring!$M$2:$M$500,Setup!$H$3))</x:f>
      </x:c>
      <x:c r="G95" s="18" t="str">
        <x:f>IF($B95="","",COUNTIFS(Scoring!$B$2:$B$500,$B95,Scoring!$L$2:$L$500,"Yes"))</x:f>
      </x:c>
      <x:c r="H95" s="18" t="str">
        <x:f>IF($B95="","",COUNTIFS(Scoring!$B$2:$B$500,$B95,Scoring!$L$2:$L$500,"Late"))</x:f>
      </x:c>
      <x:c r="I95" s="18" t="str">
        <x:f>IF($B95="","",IF(A95=1,"Current Champion",IF(E95=MAX($E$4:$E$103),"Score Sniper",IF(F95=MAX($F$4:$F$103),"VAR Victim","Contender"))))</x:f>
      </x:c>
    </x:row>
    <x:row r="96">
      <x:c r="A96" s="18" t="str">
        <x:f>IF($B96="","",RANK($C96,$C$4:$C$103,0)+COUNTIFS($C$4:$C96,$C96)-1)</x:f>
      </x:c>
      <x:c r="B96" s="18"/>
      <x:c r="C96" s="18" t="str">
        <x:f>IF($B96="","",SUMIF(Scoring!$B$2:$B$500,$B96,Scoring!$O$2:$O$500))</x:f>
      </x:c>
      <x:c r="D96" s="18" t="str">
        <x:f>IF($B96="","",COUNTIFS(Scoring!$B$2:$B$500,$B96,Scoring!$M$2:$M$500,Setup!$H$2))</x:f>
      </x:c>
      <x:c r="E96" s="18" t="str">
        <x:f>IF($B96="","",COUNTIFS(Scoring!$B$2:$B$500,$B96,Scoring!$N$2:$N$500,Setup!$H$5))</x:f>
      </x:c>
      <x:c r="F96" s="18" t="str">
        <x:f>IF($B96="","",COUNTIFS(Scoring!$B$2:$B$500,$B96,Scoring!$M$2:$M$500,Setup!$H$3))</x:f>
      </x:c>
      <x:c r="G96" s="18" t="str">
        <x:f>IF($B96="","",COUNTIFS(Scoring!$B$2:$B$500,$B96,Scoring!$L$2:$L$500,"Yes"))</x:f>
      </x:c>
      <x:c r="H96" s="18" t="str">
        <x:f>IF($B96="","",COUNTIFS(Scoring!$B$2:$B$500,$B96,Scoring!$L$2:$L$500,"Late"))</x:f>
      </x:c>
      <x:c r="I96" s="18" t="str">
        <x:f>IF($B96="","",IF(A96=1,"Current Champion",IF(E96=MAX($E$4:$E$103),"Score Sniper",IF(F96=MAX($F$4:$F$103),"VAR Victim","Contender"))))</x:f>
      </x:c>
    </x:row>
    <x:row r="97">
      <x:c r="A97" s="18" t="str">
        <x:f>IF($B97="","",RANK($C97,$C$4:$C$103,0)+COUNTIFS($C$4:$C97,$C97)-1)</x:f>
      </x:c>
      <x:c r="B97" s="18"/>
      <x:c r="C97" s="18" t="str">
        <x:f>IF($B97="","",SUMIF(Scoring!$B$2:$B$500,$B97,Scoring!$O$2:$O$500))</x:f>
      </x:c>
      <x:c r="D97" s="18" t="str">
        <x:f>IF($B97="","",COUNTIFS(Scoring!$B$2:$B$500,$B97,Scoring!$M$2:$M$500,Setup!$H$2))</x:f>
      </x:c>
      <x:c r="E97" s="18" t="str">
        <x:f>IF($B97="","",COUNTIFS(Scoring!$B$2:$B$500,$B97,Scoring!$N$2:$N$500,Setup!$H$5))</x:f>
      </x:c>
      <x:c r="F97" s="18" t="str">
        <x:f>IF($B97="","",COUNTIFS(Scoring!$B$2:$B$500,$B97,Scoring!$M$2:$M$500,Setup!$H$3))</x:f>
      </x:c>
      <x:c r="G97" s="18" t="str">
        <x:f>IF($B97="","",COUNTIFS(Scoring!$B$2:$B$500,$B97,Scoring!$L$2:$L$500,"Yes"))</x:f>
      </x:c>
      <x:c r="H97" s="18" t="str">
        <x:f>IF($B97="","",COUNTIFS(Scoring!$B$2:$B$500,$B97,Scoring!$L$2:$L$500,"Late"))</x:f>
      </x:c>
      <x:c r="I97" s="18" t="str">
        <x:f>IF($B97="","",IF(A97=1,"Current Champion",IF(E97=MAX($E$4:$E$103),"Score Sniper",IF(F97=MAX($F$4:$F$103),"VAR Victim","Contender"))))</x:f>
      </x:c>
    </x:row>
    <x:row r="98">
      <x:c r="A98" s="18" t="str">
        <x:f>IF($B98="","",RANK($C98,$C$4:$C$103,0)+COUNTIFS($C$4:$C98,$C98)-1)</x:f>
      </x:c>
      <x:c r="B98" s="18"/>
      <x:c r="C98" s="18" t="str">
        <x:f>IF($B98="","",SUMIF(Scoring!$B$2:$B$500,$B98,Scoring!$O$2:$O$500))</x:f>
      </x:c>
      <x:c r="D98" s="18" t="str">
        <x:f>IF($B98="","",COUNTIFS(Scoring!$B$2:$B$500,$B98,Scoring!$M$2:$M$500,Setup!$H$2))</x:f>
      </x:c>
      <x:c r="E98" s="18" t="str">
        <x:f>IF($B98="","",COUNTIFS(Scoring!$B$2:$B$500,$B98,Scoring!$N$2:$N$500,Setup!$H$5))</x:f>
      </x:c>
      <x:c r="F98" s="18" t="str">
        <x:f>IF($B98="","",COUNTIFS(Scoring!$B$2:$B$500,$B98,Scoring!$M$2:$M$500,Setup!$H$3))</x:f>
      </x:c>
      <x:c r="G98" s="18" t="str">
        <x:f>IF($B98="","",COUNTIFS(Scoring!$B$2:$B$500,$B98,Scoring!$L$2:$L$500,"Yes"))</x:f>
      </x:c>
      <x:c r="H98" s="18" t="str">
        <x:f>IF($B98="","",COUNTIFS(Scoring!$B$2:$B$500,$B98,Scoring!$L$2:$L$500,"Late"))</x:f>
      </x:c>
      <x:c r="I98" s="18" t="str">
        <x:f>IF($B98="","",IF(A98=1,"Current Champion",IF(E98=MAX($E$4:$E$103),"Score Sniper",IF(F98=MAX($F$4:$F$103),"VAR Victim","Contender"))))</x:f>
      </x:c>
    </x:row>
    <x:row r="99">
      <x:c r="A99" s="18" t="str">
        <x:f>IF($B99="","",RANK($C99,$C$4:$C$103,0)+COUNTIFS($C$4:$C99,$C99)-1)</x:f>
      </x:c>
      <x:c r="B99" s="18"/>
      <x:c r="C99" s="18" t="str">
        <x:f>IF($B99="","",SUMIF(Scoring!$B$2:$B$500,$B99,Scoring!$O$2:$O$500))</x:f>
      </x:c>
      <x:c r="D99" s="18" t="str">
        <x:f>IF($B99="","",COUNTIFS(Scoring!$B$2:$B$500,$B99,Scoring!$M$2:$M$500,Setup!$H$2))</x:f>
      </x:c>
      <x:c r="E99" s="18" t="str">
        <x:f>IF($B99="","",COUNTIFS(Scoring!$B$2:$B$500,$B99,Scoring!$N$2:$N$500,Setup!$H$5))</x:f>
      </x:c>
      <x:c r="F99" s="18" t="str">
        <x:f>IF($B99="","",COUNTIFS(Scoring!$B$2:$B$500,$B99,Scoring!$M$2:$M$500,Setup!$H$3))</x:f>
      </x:c>
      <x:c r="G99" s="18" t="str">
        <x:f>IF($B99="","",COUNTIFS(Scoring!$B$2:$B$500,$B99,Scoring!$L$2:$L$500,"Yes"))</x:f>
      </x:c>
      <x:c r="H99" s="18" t="str">
        <x:f>IF($B99="","",COUNTIFS(Scoring!$B$2:$B$500,$B99,Scoring!$L$2:$L$500,"Late"))</x:f>
      </x:c>
      <x:c r="I99" s="18" t="str">
        <x:f>IF($B99="","",IF(A99=1,"Current Champion",IF(E99=MAX($E$4:$E$103),"Score Sniper",IF(F99=MAX($F$4:$F$103),"VAR Victim","Contender"))))</x:f>
      </x:c>
    </x:row>
    <x:row r="100">
      <x:c r="A100" s="18" t="str">
        <x:f>IF($B100="","",RANK($C100,$C$4:$C$103,0)+COUNTIFS($C$4:$C100,$C100)-1)</x:f>
      </x:c>
      <x:c r="B100" s="18"/>
      <x:c r="C100" s="18" t="str">
        <x:f>IF($B100="","",SUMIF(Scoring!$B$2:$B$500,$B100,Scoring!$O$2:$O$500))</x:f>
      </x:c>
      <x:c r="D100" s="18" t="str">
        <x:f>IF($B100="","",COUNTIFS(Scoring!$B$2:$B$500,$B100,Scoring!$M$2:$M$500,Setup!$H$2))</x:f>
      </x:c>
      <x:c r="E100" s="18" t="str">
        <x:f>IF($B100="","",COUNTIFS(Scoring!$B$2:$B$500,$B100,Scoring!$N$2:$N$500,Setup!$H$5))</x:f>
      </x:c>
      <x:c r="F100" s="18" t="str">
        <x:f>IF($B100="","",COUNTIFS(Scoring!$B$2:$B$500,$B100,Scoring!$M$2:$M$500,Setup!$H$3))</x:f>
      </x:c>
      <x:c r="G100" s="18" t="str">
        <x:f>IF($B100="","",COUNTIFS(Scoring!$B$2:$B$500,$B100,Scoring!$L$2:$L$500,"Yes"))</x:f>
      </x:c>
      <x:c r="H100" s="18" t="str">
        <x:f>IF($B100="","",COUNTIFS(Scoring!$B$2:$B$500,$B100,Scoring!$L$2:$L$500,"Late"))</x:f>
      </x:c>
      <x:c r="I100" s="18" t="str">
        <x:f>IF($B100="","",IF(A100=1,"Current Champion",IF(E100=MAX($E$4:$E$103),"Score Sniper",IF(F100=MAX($F$4:$F$103),"VAR Victim","Contender"))))</x:f>
      </x:c>
    </x:row>
    <x:row r="101">
      <x:c r="A101" s="18" t="str">
        <x:f>IF($B101="","",RANK($C101,$C$4:$C$103,0)+COUNTIFS($C$4:$C101,$C101)-1)</x:f>
      </x:c>
      <x:c r="B101" s="18"/>
      <x:c r="C101" s="18" t="str">
        <x:f>IF($B101="","",SUMIF(Scoring!$B$2:$B$500,$B101,Scoring!$O$2:$O$500))</x:f>
      </x:c>
      <x:c r="D101" s="18" t="str">
        <x:f>IF($B101="","",COUNTIFS(Scoring!$B$2:$B$500,$B101,Scoring!$M$2:$M$500,Setup!$H$2))</x:f>
      </x:c>
      <x:c r="E101" s="18" t="str">
        <x:f>IF($B101="","",COUNTIFS(Scoring!$B$2:$B$500,$B101,Scoring!$N$2:$N$500,Setup!$H$5))</x:f>
      </x:c>
      <x:c r="F101" s="18" t="str">
        <x:f>IF($B101="","",COUNTIFS(Scoring!$B$2:$B$500,$B101,Scoring!$M$2:$M$500,Setup!$H$3))</x:f>
      </x:c>
      <x:c r="G101" s="18" t="str">
        <x:f>IF($B101="","",COUNTIFS(Scoring!$B$2:$B$500,$B101,Scoring!$L$2:$L$500,"Yes"))</x:f>
      </x:c>
      <x:c r="H101" s="18" t="str">
        <x:f>IF($B101="","",COUNTIFS(Scoring!$B$2:$B$500,$B101,Scoring!$L$2:$L$500,"Late"))</x:f>
      </x:c>
      <x:c r="I101" s="18" t="str">
        <x:f>IF($B101="","",IF(A101=1,"Current Champion",IF(E101=MAX($E$4:$E$103),"Score Sniper",IF(F101=MAX($F$4:$F$103),"VAR Victim","Contender"))))</x:f>
      </x:c>
    </x:row>
    <x:row r="102">
      <x:c r="A102" s="18" t="str">
        <x:f>IF($B102="","",RANK($C102,$C$4:$C$103,0)+COUNTIFS($C$4:$C102,$C102)-1)</x:f>
      </x:c>
      <x:c r="B102" s="18"/>
      <x:c r="C102" s="18" t="str">
        <x:f>IF($B102="","",SUMIF(Scoring!$B$2:$B$500,$B102,Scoring!$O$2:$O$500))</x:f>
      </x:c>
      <x:c r="D102" s="18" t="str">
        <x:f>IF($B102="","",COUNTIFS(Scoring!$B$2:$B$500,$B102,Scoring!$M$2:$M$500,Setup!$H$2))</x:f>
      </x:c>
      <x:c r="E102" s="18" t="str">
        <x:f>IF($B102="","",COUNTIFS(Scoring!$B$2:$B$500,$B102,Scoring!$N$2:$N$500,Setup!$H$5))</x:f>
      </x:c>
      <x:c r="F102" s="18" t="str">
        <x:f>IF($B102="","",COUNTIFS(Scoring!$B$2:$B$500,$B102,Scoring!$M$2:$M$500,Setup!$H$3))</x:f>
      </x:c>
      <x:c r="G102" s="18" t="str">
        <x:f>IF($B102="","",COUNTIFS(Scoring!$B$2:$B$500,$B102,Scoring!$L$2:$L$500,"Yes"))</x:f>
      </x:c>
      <x:c r="H102" s="18" t="str">
        <x:f>IF($B102="","",COUNTIFS(Scoring!$B$2:$B$500,$B102,Scoring!$L$2:$L$500,"Late"))</x:f>
      </x:c>
      <x:c r="I102" s="18" t="str">
        <x:f>IF($B102="","",IF(A102=1,"Current Champion",IF(E102=MAX($E$4:$E$103),"Score Sniper",IF(F102=MAX($F$4:$F$103),"VAR Victim","Contender"))))</x:f>
      </x:c>
    </x:row>
    <x:row r="103">
      <x:c r="A103" s="18" t="str">
        <x:f>IF($B103="","",RANK($C103,$C$4:$C$103,0)+COUNTIFS($C$4:$C103,$C103)-1)</x:f>
      </x:c>
      <x:c r="B103" s="18"/>
      <x:c r="C103" s="18" t="str">
        <x:f>IF($B103="","",SUMIF(Scoring!$B$2:$B$500,$B103,Scoring!$O$2:$O$500))</x:f>
      </x:c>
      <x:c r="D103" s="18" t="str">
        <x:f>IF($B103="","",COUNTIFS(Scoring!$B$2:$B$500,$B103,Scoring!$M$2:$M$500,Setup!$H$2))</x:f>
      </x:c>
      <x:c r="E103" s="18" t="str">
        <x:f>IF($B103="","",COUNTIFS(Scoring!$B$2:$B$500,$B103,Scoring!$N$2:$N$500,Setup!$H$5))</x:f>
      </x:c>
      <x:c r="F103" s="18" t="str">
        <x:f>IF($B103="","",COUNTIFS(Scoring!$B$2:$B$500,$B103,Scoring!$M$2:$M$500,Setup!$H$3))</x:f>
      </x:c>
      <x:c r="G103" s="18" t="str">
        <x:f>IF($B103="","",COUNTIFS(Scoring!$B$2:$B$500,$B103,Scoring!$L$2:$L$500,"Yes"))</x:f>
      </x:c>
      <x:c r="H103" s="18" t="str">
        <x:f>IF($B103="","",COUNTIFS(Scoring!$B$2:$B$500,$B103,Scoring!$L$2:$L$500,"Late"))</x:f>
      </x:c>
      <x:c r="I103" s="18" t="str">
        <x:f>IF($B103="","",IF(A103=1,"Current Champion",IF(E103=MAX($E$4:$E$103),"Score Sniper",IF(F103=MAX($F$4:$F$103),"VAR Victim","Contender"))))</x:f>
      </x:c>
    </x:row>
  </x:sheetData>
  <x:mergeCells>
    <x:mergeCell ref="A1:I1"/>
  </x:mergeCells>
  <x:conditionalFormatting sqref="A4:I10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0" hidden="0" customWidth="1"/>
    <x:col min="3" max="3" width="3" hidden="0" customWidth="1"/>
    <x:col min="4" max="4" width="8.75" hidden="0" customWidth="1"/>
    <x:col min="5" max="5" width="22.5" hidden="0" customWidth="1"/>
    <x:col min="6" max="6" width="13.75" hidden="0" customWidth="1"/>
    <x:col min="7" max="7" width="13.75" hidden="0" customWidth="1"/>
    <x:col min="8" max="8" width="13.75" hidden="0" customWidth="1"/>
    <x:col min="9" max="9" width="12.5" hidden="0" customWidth="1"/>
    <x:col min="10" max="10" width="16.25" hidden="0" customWidth="1"/>
    <x:col min="11" max="11" width="12.5" hidden="0" customWidth="1"/>
    <x:col min="12" max="12" width="20" hidden="0" customWidth="1"/>
  </x:cols>
  <x:sheetData>
    <x:row r="1" ht="31.5" customHeight="1">
      <x:c r="A1" s="72" t="str">
        <x:v>Ramsey Lab World Cup Dashboard</x:v>
      </x:c>
      <x:c r="B1" s="72" t="str">
        <x:v>Ramsey Lab World Cup Dashboard</x:v>
      </x:c>
      <x:c r="C1" s="72" t="str">
        <x:v>Ramsey Lab World Cup Dashboard</x:v>
      </x:c>
      <x:c r="D1" s="72" t="str">
        <x:v>Ramsey Lab World Cup Dashboard</x:v>
      </x:c>
      <x:c r="E1" s="72" t="str">
        <x:v>Ramsey Lab World Cup Dashboard</x:v>
      </x:c>
      <x:c r="F1" s="72" t="str">
        <x:v>Ramsey Lab World Cup Dashboard</x:v>
      </x:c>
      <x:c r="G1" s="72" t="str">
        <x:v>Ramsey Lab World Cup Dashboard</x:v>
      </x:c>
      <x:c r="H1" s="72" t="str">
        <x:v>Ramsey Lab World Cup Dashboard</x:v>
      </x:c>
      <x:c r="I1" s="72" t="str">
        <x:v>Ramsey Lab World Cup Dashboard</x:v>
      </x:c>
      <x:c r="J1" s="72" t="str">
        <x:v>Ramsey Lab World Cup Dashboard</x:v>
      </x:c>
      <x:c r="K1" s="72" t="str">
        <x:v>Ramsey Lab World Cup Dashboard</x:v>
      </x:c>
      <x:c r="L1" s="72" t="str">
        <x:v>Ramsey Lab World Cup Dashboard</x:v>
      </x:c>
    </x:row>
    <x:row r="3">
      <x:c r="A3" s="55" t="str">
        <x:v>Current Leader</x:v>
      </x:c>
      <x:c r="B3" s="18" t="str">
        <x:f>IFERROR(INDEX(SORT(FILTER(Leaderboard!B4:C103,Leaderboard!B4:B103&lt;&gt;""),2,FALSE),1,1),"No entries yet")</x:f>
        <x:v>No entries yet</x:v>
      </x:c>
      <x:c r="D3" s="24" t="str">
        <x:v>Top 10</x:v>
      </x:c>
      <x:c r="E3" s="24" t="str">
        <x:v>Top 10</x:v>
      </x:c>
      <x:c r="F3" s="24" t="str">
        <x:v>Top 10</x:v>
      </x:c>
      <x:c r="G3" s="24" t="str">
        <x:v>Top 10</x:v>
      </x:c>
      <x:c r="H3" s="24" t="str">
        <x:v>Top 10</x:v>
      </x:c>
      <x:c r="I3" s="24" t="str">
        <x:v>Top 10</x:v>
      </x:c>
      <x:c r="J3" s="24" t="str">
        <x:v>Top 10</x:v>
      </x:c>
      <x:c r="K3" s="24" t="str">
        <x:v>Top 10</x:v>
      </x:c>
      <x:c r="L3" s="24" t="str">
        <x:v>Top 10</x:v>
      </x:c>
    </x:row>
    <x:row r="4">
      <x:c r="A4" s="55" t="str">
        <x:v>Leader Points</x:v>
      </x:c>
      <x:c r="B4" s="18" t="n">
        <x:f>IFERROR(INDEX(SORT(FILTER(Leaderboard!B4:C103,Leaderboard!B4:B103&lt;&gt;""),2,FALSE),1,2),0)</x:f>
        <x:v>0</x:v>
      </x:c>
      <x:c r="D4" s="18" t="str">
        <x:f>IFERROR(SORT(FILTER(Leaderboard!A3:I103,Leaderboard!B3:B103&lt;&gt;""),3,FALSE),"")</x:f>
        <x:v>Rank</x:v>
      </x:c>
      <x:c r="E4" s="18"/>
      <x:c r="F4" s="18"/>
      <x:c r="G4" s="18"/>
      <x:c r="H4" s="18"/>
      <x:c r="I4" s="18"/>
      <x:c r="J4" s="18"/>
      <x:c r="K4" s="18"/>
      <x:c r="L4" s="18"/>
    </x:row>
    <x:row r="5">
      <x:c r="A5" s="55" t="str">
        <x:v>Total Submissions</x:v>
      </x:c>
      <x:c r="B5" s="18" t="n">
        <x:f>COUNTA('Form Responses 1'!B2:B500)</x:f>
        <x:v>0</x:v>
      </x:c>
      <x:c r="D5" s="18"/>
      <x:c r="E5" s="18"/>
      <x:c r="F5" s="18"/>
      <x:c r="G5" s="18"/>
      <x:c r="H5" s="18"/>
      <x:c r="I5" s="18"/>
      <x:c r="J5" s="18"/>
      <x:c r="K5" s="18"/>
      <x:c r="L5" s="18"/>
    </x:row>
    <x:row r="6">
      <x:c r="A6" s="55" t="str">
        <x:v>Matches Final</x:v>
      </x:c>
      <x:c r="B6" s="18" t="n">
        <x:f>COUNTIF(Matches!Q2:Q105,"Final")</x:f>
        <x:v>0</x:v>
      </x:c>
      <x:c r="D6" s="18"/>
      <x:c r="E6" s="18"/>
      <x:c r="F6" s="18"/>
      <x:c r="G6" s="18"/>
      <x:c r="H6" s="18"/>
      <x:c r="I6" s="18"/>
      <x:c r="J6" s="18"/>
      <x:c r="K6" s="18"/>
      <x:c r="L6" s="18"/>
    </x:row>
    <x:row r="7">
      <x:c r="D7" s="18"/>
      <x:c r="E7" s="18"/>
      <x:c r="F7" s="18"/>
      <x:c r="G7" s="18"/>
      <x:c r="H7" s="18"/>
      <x:c r="I7" s="18"/>
      <x:c r="J7" s="18"/>
      <x:c r="K7" s="18"/>
      <x:c r="L7" s="18"/>
    </x:row>
    <x:row r="8">
      <x:c r="A8" s="49" t="str">
        <x:v>Game health</x:v>
      </x:c>
      <x:c r="B8" s="49" t="str"/>
      <x:c r="D8" s="18"/>
      <x:c r="E8" s="18"/>
      <x:c r="F8" s="18"/>
      <x:c r="G8" s="18"/>
      <x:c r="H8" s="18"/>
      <x:c r="I8" s="18"/>
      <x:c r="J8" s="18"/>
      <x:c r="K8" s="18"/>
      <x:c r="L8" s="18"/>
    </x:row>
    <x:row r="9">
      <x:c r="A9" s="18" t="str">
        <x:v>On-time picks</x:v>
      </x:c>
      <x:c r="B9" s="18" t="n">
        <x:f>COUNTIF(Scoring!L2:L500,"Yes")</x:f>
        <x:v>0</x:v>
      </x:c>
      <x:c r="D9" s="18"/>
      <x:c r="E9" s="18"/>
      <x:c r="F9" s="18"/>
      <x:c r="G9" s="18"/>
      <x:c r="H9" s="18"/>
      <x:c r="I9" s="18"/>
      <x:c r="J9" s="18"/>
      <x:c r="K9" s="18"/>
      <x:c r="L9" s="18"/>
    </x:row>
    <x:row r="10">
      <x:c r="A10" s="18" t="str">
        <x:v>Late picks</x:v>
      </x:c>
      <x:c r="B10" s="18" t="n">
        <x:f>COUNTIF(Scoring!L2:L500,"Late")</x:f>
        <x:v>0</x:v>
      </x:c>
      <x:c r="D10" s="18"/>
      <x:c r="E10" s="18"/>
      <x:c r="F10" s="18"/>
      <x:c r="G10" s="18"/>
      <x:c r="H10" s="18"/>
      <x:c r="I10" s="18"/>
      <x:c r="J10" s="18"/>
      <x:c r="K10" s="18"/>
      <x:c r="L10" s="18"/>
    </x:row>
    <x:row r="11">
      <x:c r="A11" s="18" t="str">
        <x:v>Exact scores</x:v>
      </x:c>
      <x:c r="B11" s="18" t="n">
        <x:f>COUNTIF(Scoring!N2:N500,Setup!H5)</x:f>
        <x:v>0</x:v>
      </x:c>
      <x:c r="D11" s="18"/>
      <x:c r="E11" s="18"/>
      <x:c r="F11" s="18"/>
      <x:c r="G11" s="18"/>
      <x:c r="H11" s="18"/>
      <x:c r="I11" s="18"/>
      <x:c r="J11" s="18"/>
      <x:c r="K11" s="18"/>
      <x:c r="L11" s="18"/>
    </x:row>
    <x:row r="12">
      <x:c r="A12" s="18" t="str">
        <x:v>Wrong picks</x:v>
      </x:c>
      <x:c r="B12" s="18" t="n">
        <x:f>COUNTIF(Scoring!M2:M500,Setup!H3)</x:f>
        <x:v>0</x:v>
      </x:c>
      <x:c r="D12" s="18"/>
      <x:c r="E12" s="18"/>
      <x:c r="F12" s="18"/>
      <x:c r="G12" s="18"/>
      <x:c r="H12" s="18"/>
      <x:c r="I12" s="18"/>
      <x:c r="J12" s="18"/>
      <x:c r="K12" s="18"/>
      <x:c r="L12" s="18"/>
    </x:row>
    <x:row r="13">
      <x:c r="A13" s="18" t="str">
        <x:v>Active players</x:v>
      </x:c>
      <x:c r="B13" s="18" t="n">
        <x:f>COUNTIF(Leaderboard!B4:B103,"?*")</x:f>
        <x:v>0</x:v>
      </x:c>
      <x:c r="D13" s="18"/>
      <x:c r="E13" s="18"/>
      <x:c r="F13" s="18"/>
      <x:c r="G13" s="18"/>
      <x:c r="H13" s="18"/>
      <x:c r="I13" s="18"/>
      <x:c r="J13" s="18"/>
      <x:c r="K13" s="18"/>
      <x:c r="L13" s="18"/>
    </x:row>
    <x:row r="14">
      <x:c r="D14" s="18"/>
      <x:c r="E14" s="18"/>
      <x:c r="F14" s="18"/>
      <x:c r="G14" s="18"/>
      <x:c r="H14" s="18"/>
      <x:c r="I14" s="18"/>
      <x:c r="J14" s="18"/>
      <x:c r="K14" s="18"/>
      <x:c r="L14" s="18"/>
    </x:row>
  </x:sheetData>
  <x:mergeCells>
    <x:mergeCell ref="A1:L1"/>
    <x:mergeCell ref="D3:L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3.75" hidden="0" customWidth="1"/>
    <x:col min="3" max="3" width="45" hidden="0" customWidth="1"/>
  </x:cols>
  <x:sheetData>
    <x:row r="1" ht="31.5" customHeight="1">
      <x:c r="A1" s="75" t="str">
        <x:v>Fun Awards</x:v>
      </x:c>
      <x:c r="B1" s="75" t="str">
        <x:v>Fun Awards</x:v>
      </x:c>
      <x:c r="C1" s="75" t="str">
        <x:v>Fun Awards</x:v>
      </x:c>
    </x:row>
    <x:row r="3">
      <x:c r="A3" s="55" t="str">
        <x:v>Award</x:v>
      </x:c>
      <x:c r="B3" s="55" t="str">
        <x:v>Winner</x:v>
      </x:c>
      <x:c r="C3" s="55" t="str">
        <x:v>What it means</x:v>
      </x:c>
    </x:row>
    <x:row r="4">
      <x:c r="A4" s="18" t="str">
        <x:v>Current Champion</x:v>
      </x:c>
      <x:c r="B4" s="18" t="str">
        <x:f>IFERROR(INDEX(SORT(FILTER(Leaderboard!B4:C103,Leaderboard!B4:B103&lt;&gt;""),2,FALSE),1,1),"")</x:f>
      </x:c>
      <x:c r="C4" s="18" t="str">
        <x:v>Most eligible total points</x:v>
      </x:c>
    </x:row>
    <x:row r="5">
      <x:c r="A5" s="18" t="str">
        <x:v>Score Sniper</x:v>
      </x:c>
      <x:c r="B5" s="18" t="str">
        <x:f>IFERROR(INDEX(SORT(FILTER(Leaderboard!B4:E103,Leaderboard!B4:B103&lt;&gt;""),4,FALSE),1,1),"")</x:f>
      </x:c>
      <x:c r="C5" s="18" t="str">
        <x:v>Most exact scores</x:v>
      </x:c>
    </x:row>
    <x:row r="6">
      <x:c r="A6" s="18" t="str">
        <x:v>Result Merchant</x:v>
      </x:c>
      <x:c r="B6" s="18" t="str">
        <x:f>IFERROR(INDEX(SORT(FILTER(Leaderboard!B4:D103,Leaderboard!B4:B103&lt;&gt;""),3,FALSE),1,1),"")</x:f>
      </x:c>
      <x:c r="C6" s="18" t="str">
        <x:v>Most correct results</x:v>
      </x:c>
    </x:row>
    <x:row r="7">
      <x:c r="A7" s="18" t="str">
        <x:v>VAR Victim</x:v>
      </x:c>
      <x:c r="B7" s="18" t="str">
        <x:f>IFERROR(INDEX(SORT(FILTER(Leaderboard!B4:F103,Leaderboard!B4:B103&lt;&gt;""),5,FALSE),1,1),"")</x:f>
      </x:c>
      <x:c r="C7" s="18" t="str">
        <x:v>Most wrong eligible picks</x:v>
      </x:c>
    </x:row>
    <x:row r="8">
      <x:c r="A8" s="18" t="str">
        <x:v>Dedicated Predictor</x:v>
      </x:c>
      <x:c r="B8" s="18" t="str">
        <x:f>IFERROR(INDEX(SORT(FILTER(Leaderboard!B4:G103,Leaderboard!B4:B103&lt;&gt;""),6,FALSE),1,1),"")</x:f>
      </x:c>
      <x:c r="C8" s="18" t="str">
        <x:v>Most on-time predictions submitted</x:v>
      </x:c>
    </x:row>
    <x:row r="9">
      <x:c r="A9" s="18" t="str">
        <x:v>Deadline Disaster</x:v>
      </x:c>
      <x:c r="B9" s="18" t="str">
        <x:f>IFERROR(INDEX(SORT(FILTER(Leaderboard!B4:H103,Leaderboard!B4:B103&lt;&gt;""),7,FALSE),1,1),"")</x:f>
      </x:c>
      <x:c r="C9" s="18" t="str">
        <x:v>Most late picks</x:v>
      </x:c>
    </x:row>
    <x:row r="10">
      <x:c r="A10" s="18" t="str">
        <x:v>Signed Up, Stayed Silent</x:v>
      </x:c>
      <x:c r="B10" s="18" t="str">
        <x:f>IFERROR(INDEX(FILTER(Participants!A4:A103,Participants!D4:D103=0),1),"")</x:f>
      </x:c>
      <x:c r="C10" s="18" t="str">
        <x:v>Signed up but no eligible picks yet</x:v>
      </x:c>
    </x:row>
  </x:sheetData>
  <x:mergeCells>
    <x:mergeCell ref="A1:C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7.5" hidden="0" customWidth="1"/>
    <x:col min="3" max="3" width="65" hidden="0" customWidth="1"/>
  </x:cols>
  <x:sheetData>
    <x:row r="1" ht="31.5" customHeight="1">
      <x:c r="A1" s="79" t="str">
        <x:v>Google Form Setup Guide</x:v>
      </x:c>
      <x:c r="B1" s="79" t="str">
        <x:v>Google Form Setup Guide</x:v>
      </x:c>
      <x:c r="C1" s="79" t="str">
        <x:v>Google Form Setup Guide</x:v>
      </x:c>
    </x:row>
    <x:row r="3">
      <x:c r="A3" s="55" t="str">
        <x:v>Form question</x:v>
      </x:c>
      <x:c r="B3" s="55" t="str">
        <x:v>Type</x:v>
      </x:c>
      <x:c r="C3" s="55" t="str">
        <x:v>Notes</x:v>
      </x:c>
    </x:row>
    <x:row r="4">
      <x:c r="A4" s="18" t="str">
        <x:v>Participant</x:v>
      </x:c>
      <x:c r="B4" s="18" t="str">
        <x:v>Short answer or dropdown</x:v>
      </x:c>
      <x:c r="C4" s="18" t="str">
        <x:v>Use consistent names for cleaner ranking.</x:v>
      </x:c>
    </x:row>
    <x:row r="5">
      <x:c r="A5" s="18" t="str">
        <x:v>Match ID</x:v>
      </x:c>
      <x:c r="B5" s="18" t="str">
        <x:v>Dropdown</x:v>
      </x:c>
      <x:c r="C5" s="18" t="str">
        <x:v>Use the IDs listed on Matches. Rows are reserved through Match ID 199 for future additions.</x:v>
      </x:c>
    </x:row>
    <x:row r="6">
      <x:c r="A6" s="18" t="str">
        <x:v>Match Label</x:v>
      </x:c>
      <x:c r="B6" s="18" t="str">
        <x:v>Dropdown or short answer</x:v>
      </x:c>
      <x:c r="C6" s="18" t="str">
        <x:v>Optional for humans; scoring uses Match ID.</x:v>
      </x:c>
    </x:row>
    <x:row r="7">
      <x:c r="A7" s="18" t="str">
        <x:v>Prediction</x:v>
      </x:c>
      <x:c r="B7" s="18" t="str">
        <x:v>Short answer</x:v>
      </x:c>
      <x:c r="C7" s="18" t="str">
        <x:v>Group games: Home, Draw, Away. Knockouts: the advancing team name.</x:v>
      </x:c>
    </x:row>
    <x:row r="8">
      <x:c r="A8" s="18" t="str">
        <x:v>Pred Home Goals</x:v>
      </x:c>
      <x:c r="B8" s="18" t="str">
        <x:v>Number</x:v>
      </x:c>
      <x:c r="C8" s="18" t="str">
        <x:v>Optional. Leave blank if they only want result points.</x:v>
      </x:c>
    </x:row>
    <x:row r="9">
      <x:c r="A9" s="18" t="str">
        <x:v>Pred Away Goals</x:v>
      </x:c>
      <x:c r="B9" s="18" t="str">
        <x:v>Number</x:v>
      </x:c>
      <x:c r="C9" s="18" t="str">
        <x:v>Optional. Exact score bonus needs both goal fields.</x:v>
      </x:c>
    </x:row>
    <x:row r="10">
      <x:c r="A10" s="18" t="str">
        <x:v>Settings</x:v>
      </x:c>
      <x:c r="B10" s="18" t="str">
        <x:v>Disable response editing</x:v>
      </x:c>
      <x:c r="C10" s="18" t="str">
        <x:v>Makes timestamps fairer.</x:v>
      </x:c>
    </x:row>
    <x:row r="11">
      <x:c r="A11" s="18" t="str">
        <x:v>Response destination</x:v>
      </x:c>
      <x:c r="B11" s="18" t="str">
        <x:v>Apps Script helper</x:v>
      </x:c>
      <x:c r="C11" s="18" t="str">
        <x:v>Paste google-apps-script/Code.gs into Extensions &gt; Apps Script, then use the World Cup Admin menu.</x:v>
      </x:c>
    </x:row>
    <x:row r="12">
      <x:c r="A12" s="18" t="str">
        <x:v>If a new tab appears</x:v>
      </x:c>
      <x:c r="B12" s="18" t="str">
        <x:v>Rename it</x:v>
      </x:c>
      <x:c r="C12" s="18" t="str">
        <x:v>Use the exact tab name Form Responses 1.</x:v>
      </x:c>
    </x:row>
    <x:row r="14">
      <x:c r="A14" s="35" t="str">
        <x:v>Suggested announcement copy</x:v>
      </x:c>
      <x:c r="B14" s="36"/>
      <x:c r="C14" s="37"/>
    </x:row>
    <x:row r="15">
      <x:c r="A15" s="38" t="str">
        <x:v>Ramsey Lab World Cup Challenge is live. Submit predictions through the form before kickoff. For Match ID 1 only, submissions can come in anytime. Correct result or advancing team is 3 points, wrong eligible pick is -1, exact score is +10, and other late submissions are 0. Dashboard and leaderboard update live.</x:v>
      </x:c>
      <x:c r="B15" s="39"/>
      <x:c r="C15" s="40"/>
    </x:row>
    <x:row r="16">
      <x:c r="A16" s="38" t="str">
        <x:v>Admin rhythm</x:v>
      </x:c>
      <x:c r="B16" s="39"/>
      <x:c r="C16" s="40"/>
    </x:row>
    <x:row r="17">
      <x:c r="A17" s="38" t="str">
        <x:v>Before each matchday: check the form questions and close/reopen as needed.</x:v>
      </x:c>
      <x:c r="B17" s="39"/>
      <x:c r="C17" s="40"/>
    </x:row>
    <x:row r="18">
      <x:c r="A18" s="38" t="str">
        <x:v>After each game: enter final goals in Matches columns I:J and the leaderboard updates.</x:v>
      </x:c>
      <x:c r="B18" s="39"/>
      <x:c r="C18" s="40"/>
    </x:row>
    <x:row r="19">
      <x:c r="A19" s="41" t="str">
        <x:v>For knockouts: enter the advancing team in Matches column L.</x:v>
      </x:c>
      <x:c r="B19" s="42"/>
      <x:c r="C19" s="43"/>
    </x:row>
  </x:sheetData>
  <x:mergeCells>
    <x:mergeCell ref="A1:C1"/>
    <x:mergeCell ref="A14:C14"/>
    <x:mergeCell ref="A16:C1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0" hidden="0" customWidth="1"/>
    <x:col min="3" max="3" width="20" hidden="0" customWidth="1"/>
    <x:col min="4" max="4" width="16.25" hidden="0" customWidth="1"/>
    <x:col min="5" max="5" width="15" hidden="0" customWidth="1"/>
    <x:col min="6" max="6" width="23.75" hidden="0" customWidth="1"/>
  </x:cols>
  <x:sheetData>
    <x:row r="1" ht="31.5" customHeight="1">
      <x:c r="A1" s="69" t="str">
        <x:v>Players</x:v>
      </x:c>
      <x:c r="B1" s="69" t="str">
        <x:v>Players</x:v>
      </x:c>
      <x:c r="C1" s="69" t="str">
        <x:v>Players</x:v>
      </x:c>
      <x:c r="D1" s="69" t="str">
        <x:v>Players</x:v>
      </x:c>
      <x:c r="E1" s="69" t="str">
        <x:v>Players</x:v>
      </x:c>
      <x:c r="F1" s="69" t="str">
        <x:v>Players</x:v>
      </x:c>
    </x:row>
    <x:row r="3">
      <x:c r="A3" s="55" t="str">
        <x:v>Participant</x:v>
      </x:c>
      <x:c r="B3" s="55" t="str">
        <x:v>Nickname</x:v>
      </x:c>
      <x:c r="C3" s="55" t="str">
        <x:v>Favorite Team</x:v>
      </x:c>
      <x:c r="D3" s="55" t="str">
        <x:v>Predictions Made</x:v>
      </x:c>
      <x:c r="E3" s="55" t="str">
        <x:v>Total Points</x:v>
      </x:c>
      <x:c r="F3" s="55" t="str">
        <x:v>Status</x:v>
      </x:c>
    </x:row>
    <x:row r="4">
      <x:c r="A4" s="18" t="str">
        <x:f>Leaderboard!B4</x:f>
      </x:c>
      <x:c r="B4" s="18"/>
      <x:c r="C4" s="18"/>
      <x:c r="D4" s="18" t="str">
        <x:f>IF($A4="","",COUNTIF(Scoring!$B$2:$B$500,$A4))</x:f>
      </x:c>
      <x:c r="E4" s="18" t="str">
        <x:f>IF($A4="","",SUMIF(Scoring!$B$2:$B$500,$A4,Scoring!$O$2:$O$500))</x:f>
      </x:c>
      <x:c r="F4" s="18" t="str">
        <x:f>IF($A4="","",IF($D4=0,"Signed up, stayed silent",IF($E4=MAX($E$4:$E$103),"In the title race","Active")))</x:f>
      </x:c>
    </x:row>
    <x:row r="5">
      <x:c r="A5" s="18" t="n">
        <x:f>Leaderboard!B5</x:f>
        <x:v>0</x:v>
      </x:c>
      <x:c r="B5" s="18"/>
      <x:c r="C5" s="18"/>
      <x:c r="D5" s="18" t="str">
        <x:f>IF($A5="","",COUNTIF(Scoring!$B$2:$B$500,$A5))</x:f>
      </x:c>
      <x:c r="E5" s="18" t="str">
        <x:f>IF($A5="","",SUMIF(Scoring!$B$2:$B$500,$A5,Scoring!$O$2:$O$500))</x:f>
      </x:c>
      <x:c r="F5" s="18" t="str">
        <x:f>IF($A5="","",IF($D5=0,"Signed up, stayed silent",IF($E5=MAX($E$4:$E$103),"In the title race","Active")))</x:f>
      </x:c>
    </x:row>
    <x:row r="6">
      <x:c r="A6" s="18" t="n">
        <x:f>Leaderboard!B6</x:f>
        <x:v>0</x:v>
      </x:c>
      <x:c r="B6" s="18"/>
      <x:c r="C6" s="18"/>
      <x:c r="D6" s="18" t="str">
        <x:f>IF($A6="","",COUNTIF(Scoring!$B$2:$B$500,$A6))</x:f>
      </x:c>
      <x:c r="E6" s="18" t="str">
        <x:f>IF($A6="","",SUMIF(Scoring!$B$2:$B$500,$A6,Scoring!$O$2:$O$500))</x:f>
      </x:c>
      <x:c r="F6" s="18" t="str">
        <x:f>IF($A6="","",IF($D6=0,"Signed up, stayed silent",IF($E6=MAX($E$4:$E$103),"In the title race","Active")))</x:f>
      </x:c>
    </x:row>
    <x:row r="7">
      <x:c r="A7" s="18" t="n">
        <x:f>Leaderboard!B7</x:f>
        <x:v>0</x:v>
      </x:c>
      <x:c r="B7" s="18"/>
      <x:c r="C7" s="18"/>
      <x:c r="D7" s="18" t="str">
        <x:f>IF($A7="","",COUNTIF(Scoring!$B$2:$B$500,$A7))</x:f>
      </x:c>
      <x:c r="E7" s="18" t="str">
        <x:f>IF($A7="","",SUMIF(Scoring!$B$2:$B$500,$A7,Scoring!$O$2:$O$500))</x:f>
      </x:c>
      <x:c r="F7" s="18" t="str">
        <x:f>IF($A7="","",IF($D7=0,"Signed up, stayed silent",IF($E7=MAX($E$4:$E$103),"In the title race","Active")))</x:f>
      </x:c>
    </x:row>
    <x:row r="8">
      <x:c r="A8" s="18" t="n">
        <x:f>Leaderboard!B8</x:f>
        <x:v>0</x:v>
      </x:c>
      <x:c r="B8" s="18"/>
      <x:c r="C8" s="18"/>
      <x:c r="D8" s="18" t="str">
        <x:f>IF($A8="","",COUNTIF(Scoring!$B$2:$B$500,$A8))</x:f>
      </x:c>
      <x:c r="E8" s="18" t="str">
        <x:f>IF($A8="","",SUMIF(Scoring!$B$2:$B$500,$A8,Scoring!$O$2:$O$500))</x:f>
      </x:c>
      <x:c r="F8" s="18" t="str">
        <x:f>IF($A8="","",IF($D8=0,"Signed up, stayed silent",IF($E8=MAX($E$4:$E$103),"In the title race","Active")))</x:f>
      </x:c>
    </x:row>
    <x:row r="9">
      <x:c r="A9" s="18" t="n">
        <x:f>Leaderboard!B9</x:f>
        <x:v>0</x:v>
      </x:c>
      <x:c r="B9" s="18"/>
      <x:c r="C9" s="18"/>
      <x:c r="D9" s="18" t="str">
        <x:f>IF($A9="","",COUNTIF(Scoring!$B$2:$B$500,$A9))</x:f>
      </x:c>
      <x:c r="E9" s="18" t="str">
        <x:f>IF($A9="","",SUMIF(Scoring!$B$2:$B$500,$A9,Scoring!$O$2:$O$500))</x:f>
      </x:c>
      <x:c r="F9" s="18" t="str">
        <x:f>IF($A9="","",IF($D9=0,"Signed up, stayed silent",IF($E9=MAX($E$4:$E$103),"In the title race","Active")))</x:f>
      </x:c>
    </x:row>
    <x:row r="10">
      <x:c r="A10" s="18" t="n">
        <x:f>Leaderboard!B10</x:f>
        <x:v>0</x:v>
      </x:c>
      <x:c r="B10" s="18"/>
      <x:c r="C10" s="18"/>
      <x:c r="D10" s="18" t="str">
        <x:f>IF($A10="","",COUNTIF(Scoring!$B$2:$B$500,$A10))</x:f>
      </x:c>
      <x:c r="E10" s="18" t="str">
        <x:f>IF($A10="","",SUMIF(Scoring!$B$2:$B$500,$A10,Scoring!$O$2:$O$500))</x:f>
      </x:c>
      <x:c r="F10" s="18" t="str">
        <x:f>IF($A10="","",IF($D10=0,"Signed up, stayed silent",IF($E10=MAX($E$4:$E$103),"In the title race","Active")))</x:f>
      </x:c>
    </x:row>
    <x:row r="11">
      <x:c r="A11" s="18" t="n">
        <x:f>Leaderboard!B11</x:f>
        <x:v>0</x:v>
      </x:c>
      <x:c r="B11" s="18"/>
      <x:c r="C11" s="18"/>
      <x:c r="D11" s="18" t="str">
        <x:f>IF($A11="","",COUNTIF(Scoring!$B$2:$B$500,$A11))</x:f>
      </x:c>
      <x:c r="E11" s="18" t="str">
        <x:f>IF($A11="","",SUMIF(Scoring!$B$2:$B$500,$A11,Scoring!$O$2:$O$500))</x:f>
      </x:c>
      <x:c r="F11" s="18" t="str">
        <x:f>IF($A11="","",IF($D11=0,"Signed up, stayed silent",IF($E11=MAX($E$4:$E$103),"In the title race","Active")))</x:f>
      </x:c>
    </x:row>
    <x:row r="12">
      <x:c r="A12" s="18" t="n">
        <x:f>Leaderboard!B12</x:f>
        <x:v>0</x:v>
      </x:c>
      <x:c r="B12" s="18"/>
      <x:c r="C12" s="18"/>
      <x:c r="D12" s="18" t="str">
        <x:f>IF($A12="","",COUNTIF(Scoring!$B$2:$B$500,$A12))</x:f>
      </x:c>
      <x:c r="E12" s="18" t="str">
        <x:f>IF($A12="","",SUMIF(Scoring!$B$2:$B$500,$A12,Scoring!$O$2:$O$500))</x:f>
      </x:c>
      <x:c r="F12" s="18" t="str">
        <x:f>IF($A12="","",IF($D12=0,"Signed up, stayed silent",IF($E12=MAX($E$4:$E$103),"In the title race","Active")))</x:f>
      </x:c>
    </x:row>
    <x:row r="13">
      <x:c r="A13" s="18" t="n">
        <x:f>Leaderboard!B13</x:f>
        <x:v>0</x:v>
      </x:c>
      <x:c r="B13" s="18"/>
      <x:c r="C13" s="18"/>
      <x:c r="D13" s="18" t="str">
        <x:f>IF($A13="","",COUNTIF(Scoring!$B$2:$B$500,$A13))</x:f>
      </x:c>
      <x:c r="E13" s="18" t="str">
        <x:f>IF($A13="","",SUMIF(Scoring!$B$2:$B$500,$A13,Scoring!$O$2:$O$500))</x:f>
      </x:c>
      <x:c r="F13" s="18" t="str">
        <x:f>IF($A13="","",IF($D13=0,"Signed up, stayed silent",IF($E13=MAX($E$4:$E$103),"In the title race","Active")))</x:f>
      </x:c>
    </x:row>
    <x:row r="14">
      <x:c r="A14" s="18" t="n">
        <x:f>Leaderboard!B14</x:f>
        <x:v>0</x:v>
      </x:c>
      <x:c r="B14" s="18"/>
      <x:c r="C14" s="18"/>
      <x:c r="D14" s="18" t="str">
        <x:f>IF($A14="","",COUNTIF(Scoring!$B$2:$B$500,$A14))</x:f>
      </x:c>
      <x:c r="E14" s="18" t="str">
        <x:f>IF($A14="","",SUMIF(Scoring!$B$2:$B$500,$A14,Scoring!$O$2:$O$500))</x:f>
      </x:c>
      <x:c r="F14" s="18" t="str">
        <x:f>IF($A14="","",IF($D14=0,"Signed up, stayed silent",IF($E14=MAX($E$4:$E$103),"In the title race","Active")))</x:f>
      </x:c>
    </x:row>
    <x:row r="15">
      <x:c r="A15" s="18" t="n">
        <x:f>Leaderboard!B15</x:f>
        <x:v>0</x:v>
      </x:c>
      <x:c r="B15" s="18"/>
      <x:c r="C15" s="18"/>
      <x:c r="D15" s="18" t="str">
        <x:f>IF($A15="","",COUNTIF(Scoring!$B$2:$B$500,$A15))</x:f>
      </x:c>
      <x:c r="E15" s="18" t="str">
        <x:f>IF($A15="","",SUMIF(Scoring!$B$2:$B$500,$A15,Scoring!$O$2:$O$500))</x:f>
      </x:c>
      <x:c r="F15" s="18" t="str">
        <x:f>IF($A15="","",IF($D15=0,"Signed up, stayed silent",IF($E15=MAX($E$4:$E$103),"In the title race","Active")))</x:f>
      </x:c>
    </x:row>
    <x:row r="16">
      <x:c r="A16" s="18" t="n">
        <x:f>Leaderboard!B16</x:f>
        <x:v>0</x:v>
      </x:c>
      <x:c r="B16" s="18"/>
      <x:c r="C16" s="18"/>
      <x:c r="D16" s="18" t="str">
        <x:f>IF($A16="","",COUNTIF(Scoring!$B$2:$B$500,$A16))</x:f>
      </x:c>
      <x:c r="E16" s="18" t="str">
        <x:f>IF($A16="","",SUMIF(Scoring!$B$2:$B$500,$A16,Scoring!$O$2:$O$500))</x:f>
      </x:c>
      <x:c r="F16" s="18" t="str">
        <x:f>IF($A16="","",IF($D16=0,"Signed up, stayed silent",IF($E16=MAX($E$4:$E$103),"In the title race","Active")))</x:f>
      </x:c>
    </x:row>
    <x:row r="17">
      <x:c r="A17" s="18" t="n">
        <x:f>Leaderboard!B17</x:f>
        <x:v>0</x:v>
      </x:c>
      <x:c r="B17" s="18"/>
      <x:c r="C17" s="18"/>
      <x:c r="D17" s="18" t="str">
        <x:f>IF($A17="","",COUNTIF(Scoring!$B$2:$B$500,$A17))</x:f>
      </x:c>
      <x:c r="E17" s="18" t="str">
        <x:f>IF($A17="","",SUMIF(Scoring!$B$2:$B$500,$A17,Scoring!$O$2:$O$500))</x:f>
      </x:c>
      <x:c r="F17" s="18" t="str">
        <x:f>IF($A17="","",IF($D17=0,"Signed up, stayed silent",IF($E17=MAX($E$4:$E$103),"In the title race","Active")))</x:f>
      </x:c>
    </x:row>
    <x:row r="18">
      <x:c r="A18" s="18" t="n">
        <x:f>Leaderboard!B18</x:f>
        <x:v>0</x:v>
      </x:c>
      <x:c r="B18" s="18"/>
      <x:c r="C18" s="18"/>
      <x:c r="D18" s="18" t="str">
        <x:f>IF($A18="","",COUNTIF(Scoring!$B$2:$B$500,$A18))</x:f>
      </x:c>
      <x:c r="E18" s="18" t="str">
        <x:f>IF($A18="","",SUMIF(Scoring!$B$2:$B$500,$A18,Scoring!$O$2:$O$500))</x:f>
      </x:c>
      <x:c r="F18" s="18" t="str">
        <x:f>IF($A18="","",IF($D18=0,"Signed up, stayed silent",IF($E18=MAX($E$4:$E$103),"In the title race","Active")))</x:f>
      </x:c>
    </x:row>
    <x:row r="19">
      <x:c r="A19" s="18" t="n">
        <x:f>Leaderboard!B19</x:f>
        <x:v>0</x:v>
      </x:c>
      <x:c r="B19" s="18"/>
      <x:c r="C19" s="18"/>
      <x:c r="D19" s="18" t="str">
        <x:f>IF($A19="","",COUNTIF(Scoring!$B$2:$B$500,$A19))</x:f>
      </x:c>
      <x:c r="E19" s="18" t="str">
        <x:f>IF($A19="","",SUMIF(Scoring!$B$2:$B$500,$A19,Scoring!$O$2:$O$500))</x:f>
      </x:c>
      <x:c r="F19" s="18" t="str">
        <x:f>IF($A19="","",IF($D19=0,"Signed up, stayed silent",IF($E19=MAX($E$4:$E$103),"In the title race","Active")))</x:f>
      </x:c>
    </x:row>
    <x:row r="20">
      <x:c r="A20" s="18" t="n">
        <x:f>Leaderboard!B20</x:f>
        <x:v>0</x:v>
      </x:c>
      <x:c r="B20" s="18"/>
      <x:c r="C20" s="18"/>
      <x:c r="D20" s="18" t="str">
        <x:f>IF($A20="","",COUNTIF(Scoring!$B$2:$B$500,$A20))</x:f>
      </x:c>
      <x:c r="E20" s="18" t="str">
        <x:f>IF($A20="","",SUMIF(Scoring!$B$2:$B$500,$A20,Scoring!$O$2:$O$500))</x:f>
      </x:c>
      <x:c r="F20" s="18" t="str">
        <x:f>IF($A20="","",IF($D20=0,"Signed up, stayed silent",IF($E20=MAX($E$4:$E$103),"In the title race","Active")))</x:f>
      </x:c>
    </x:row>
    <x:row r="21">
      <x:c r="A21" s="18" t="n">
        <x:f>Leaderboard!B21</x:f>
        <x:v>0</x:v>
      </x:c>
      <x:c r="B21" s="18"/>
      <x:c r="C21" s="18"/>
      <x:c r="D21" s="18" t="str">
        <x:f>IF($A21="","",COUNTIF(Scoring!$B$2:$B$500,$A21))</x:f>
      </x:c>
      <x:c r="E21" s="18" t="str">
        <x:f>IF($A21="","",SUMIF(Scoring!$B$2:$B$500,$A21,Scoring!$O$2:$O$500))</x:f>
      </x:c>
      <x:c r="F21" s="18" t="str">
        <x:f>IF($A21="","",IF($D21=0,"Signed up, stayed silent",IF($E21=MAX($E$4:$E$103),"In the title race","Active")))</x:f>
      </x:c>
    </x:row>
    <x:row r="22">
      <x:c r="A22" s="18" t="n">
        <x:f>Leaderboard!B22</x:f>
        <x:v>0</x:v>
      </x:c>
      <x:c r="B22" s="18"/>
      <x:c r="C22" s="18"/>
      <x:c r="D22" s="18" t="str">
        <x:f>IF($A22="","",COUNTIF(Scoring!$B$2:$B$500,$A22))</x:f>
      </x:c>
      <x:c r="E22" s="18" t="str">
        <x:f>IF($A22="","",SUMIF(Scoring!$B$2:$B$500,$A22,Scoring!$O$2:$O$500))</x:f>
      </x:c>
      <x:c r="F22" s="18" t="str">
        <x:f>IF($A22="","",IF($D22=0,"Signed up, stayed silent",IF($E22=MAX($E$4:$E$103),"In the title race","Active")))</x:f>
      </x:c>
    </x:row>
    <x:row r="23">
      <x:c r="A23" s="18" t="n">
        <x:f>Leaderboard!B23</x:f>
        <x:v>0</x:v>
      </x:c>
      <x:c r="B23" s="18"/>
      <x:c r="C23" s="18"/>
      <x:c r="D23" s="18" t="str">
        <x:f>IF($A23="","",COUNTIF(Scoring!$B$2:$B$500,$A23))</x:f>
      </x:c>
      <x:c r="E23" s="18" t="str">
        <x:f>IF($A23="","",SUMIF(Scoring!$B$2:$B$500,$A23,Scoring!$O$2:$O$500))</x:f>
      </x:c>
      <x:c r="F23" s="18" t="str">
        <x:f>IF($A23="","",IF($D23=0,"Signed up, stayed silent",IF($E23=MAX($E$4:$E$103),"In the title race","Active")))</x:f>
      </x:c>
    </x:row>
    <x:row r="24">
      <x:c r="A24" s="18" t="n">
        <x:f>Leaderboard!B24</x:f>
        <x:v>0</x:v>
      </x:c>
      <x:c r="B24" s="18"/>
      <x:c r="C24" s="18"/>
      <x:c r="D24" s="18" t="str">
        <x:f>IF($A24="","",COUNTIF(Scoring!$B$2:$B$500,$A24))</x:f>
      </x:c>
      <x:c r="E24" s="18" t="str">
        <x:f>IF($A24="","",SUMIF(Scoring!$B$2:$B$500,$A24,Scoring!$O$2:$O$500))</x:f>
      </x:c>
      <x:c r="F24" s="18" t="str">
        <x:f>IF($A24="","",IF($D24=0,"Signed up, stayed silent",IF($E24=MAX($E$4:$E$103),"In the title race","Active")))</x:f>
      </x:c>
    </x:row>
    <x:row r="25">
      <x:c r="A25" s="18" t="n">
        <x:f>Leaderboard!B25</x:f>
        <x:v>0</x:v>
      </x:c>
      <x:c r="B25" s="18"/>
      <x:c r="C25" s="18"/>
      <x:c r="D25" s="18" t="str">
        <x:f>IF($A25="","",COUNTIF(Scoring!$B$2:$B$500,$A25))</x:f>
      </x:c>
      <x:c r="E25" s="18" t="str">
        <x:f>IF($A25="","",SUMIF(Scoring!$B$2:$B$500,$A25,Scoring!$O$2:$O$500))</x:f>
      </x:c>
      <x:c r="F25" s="18" t="str">
        <x:f>IF($A25="","",IF($D25=0,"Signed up, stayed silent",IF($E25=MAX($E$4:$E$103),"In the title race","Active")))</x:f>
      </x:c>
    </x:row>
    <x:row r="26">
      <x:c r="A26" s="18" t="n">
        <x:f>Leaderboard!B26</x:f>
        <x:v>0</x:v>
      </x:c>
      <x:c r="B26" s="18"/>
      <x:c r="C26" s="18"/>
      <x:c r="D26" s="18" t="str">
        <x:f>IF($A26="","",COUNTIF(Scoring!$B$2:$B$500,$A26))</x:f>
      </x:c>
      <x:c r="E26" s="18" t="str">
        <x:f>IF($A26="","",SUMIF(Scoring!$B$2:$B$500,$A26,Scoring!$O$2:$O$500))</x:f>
      </x:c>
      <x:c r="F26" s="18" t="str">
        <x:f>IF($A26="","",IF($D26=0,"Signed up, stayed silent",IF($E26=MAX($E$4:$E$103),"In the title race","Active")))</x:f>
      </x:c>
    </x:row>
    <x:row r="27">
      <x:c r="A27" s="18" t="n">
        <x:f>Leaderboard!B27</x:f>
        <x:v>0</x:v>
      </x:c>
      <x:c r="B27" s="18"/>
      <x:c r="C27" s="18"/>
      <x:c r="D27" s="18" t="str">
        <x:f>IF($A27="","",COUNTIF(Scoring!$B$2:$B$500,$A27))</x:f>
      </x:c>
      <x:c r="E27" s="18" t="str">
        <x:f>IF($A27="","",SUMIF(Scoring!$B$2:$B$500,$A27,Scoring!$O$2:$O$500))</x:f>
      </x:c>
      <x:c r="F27" s="18" t="str">
        <x:f>IF($A27="","",IF($D27=0,"Signed up, stayed silent",IF($E27=MAX($E$4:$E$103),"In the title race","Active")))</x:f>
      </x:c>
    </x:row>
    <x:row r="28">
      <x:c r="A28" s="18" t="n">
        <x:f>Leaderboard!B28</x:f>
        <x:v>0</x:v>
      </x:c>
      <x:c r="B28" s="18"/>
      <x:c r="C28" s="18"/>
      <x:c r="D28" s="18" t="str">
        <x:f>IF($A28="","",COUNTIF(Scoring!$B$2:$B$500,$A28))</x:f>
      </x:c>
      <x:c r="E28" s="18" t="str">
        <x:f>IF($A28="","",SUMIF(Scoring!$B$2:$B$500,$A28,Scoring!$O$2:$O$500))</x:f>
      </x:c>
      <x:c r="F28" s="18" t="str">
        <x:f>IF($A28="","",IF($D28=0,"Signed up, stayed silent",IF($E28=MAX($E$4:$E$103),"In the title race","Active")))</x:f>
      </x:c>
    </x:row>
    <x:row r="29">
      <x:c r="A29" s="18" t="n">
        <x:f>Leaderboard!B29</x:f>
        <x:v>0</x:v>
      </x:c>
      <x:c r="B29" s="18"/>
      <x:c r="C29" s="18"/>
      <x:c r="D29" s="18" t="str">
        <x:f>IF($A29="","",COUNTIF(Scoring!$B$2:$B$500,$A29))</x:f>
      </x:c>
      <x:c r="E29" s="18" t="str">
        <x:f>IF($A29="","",SUMIF(Scoring!$B$2:$B$500,$A29,Scoring!$O$2:$O$500))</x:f>
      </x:c>
      <x:c r="F29" s="18" t="str">
        <x:f>IF($A29="","",IF($D29=0,"Signed up, stayed silent",IF($E29=MAX($E$4:$E$103),"In the title race","Active")))</x:f>
      </x:c>
    </x:row>
    <x:row r="30">
      <x:c r="A30" s="18" t="n">
        <x:f>Leaderboard!B30</x:f>
        <x:v>0</x:v>
      </x:c>
      <x:c r="B30" s="18"/>
      <x:c r="C30" s="18"/>
      <x:c r="D30" s="18" t="str">
        <x:f>IF($A30="","",COUNTIF(Scoring!$B$2:$B$500,$A30))</x:f>
      </x:c>
      <x:c r="E30" s="18" t="str">
        <x:f>IF($A30="","",SUMIF(Scoring!$B$2:$B$500,$A30,Scoring!$O$2:$O$500))</x:f>
      </x:c>
      <x:c r="F30" s="18" t="str">
        <x:f>IF($A30="","",IF($D30=0,"Signed up, stayed silent",IF($E30=MAX($E$4:$E$103),"In the title race","Active")))</x:f>
      </x:c>
    </x:row>
    <x:row r="31">
      <x:c r="A31" s="18" t="n">
        <x:f>Leaderboard!B31</x:f>
        <x:v>0</x:v>
      </x:c>
      <x:c r="B31" s="18"/>
      <x:c r="C31" s="18"/>
      <x:c r="D31" s="18" t="str">
        <x:f>IF($A31="","",COUNTIF(Scoring!$B$2:$B$500,$A31))</x:f>
      </x:c>
      <x:c r="E31" s="18" t="str">
        <x:f>IF($A31="","",SUMIF(Scoring!$B$2:$B$500,$A31,Scoring!$O$2:$O$500))</x:f>
      </x:c>
      <x:c r="F31" s="18" t="str">
        <x:f>IF($A31="","",IF($D31=0,"Signed up, stayed silent",IF($E31=MAX($E$4:$E$103),"In the title race","Active")))</x:f>
      </x:c>
    </x:row>
    <x:row r="32">
      <x:c r="A32" s="18" t="n">
        <x:f>Leaderboard!B32</x:f>
        <x:v>0</x:v>
      </x:c>
      <x:c r="B32" s="18"/>
      <x:c r="C32" s="18"/>
      <x:c r="D32" s="18" t="str">
        <x:f>IF($A32="","",COUNTIF(Scoring!$B$2:$B$500,$A32))</x:f>
      </x:c>
      <x:c r="E32" s="18" t="str">
        <x:f>IF($A32="","",SUMIF(Scoring!$B$2:$B$500,$A32,Scoring!$O$2:$O$500))</x:f>
      </x:c>
      <x:c r="F32" s="18" t="str">
        <x:f>IF($A32="","",IF($D32=0,"Signed up, stayed silent",IF($E32=MAX($E$4:$E$103),"In the title race","Active")))</x:f>
      </x:c>
    </x:row>
    <x:row r="33">
      <x:c r="A33" s="18" t="n">
        <x:f>Leaderboard!B33</x:f>
        <x:v>0</x:v>
      </x:c>
      <x:c r="B33" s="18"/>
      <x:c r="C33" s="18"/>
      <x:c r="D33" s="18" t="str">
        <x:f>IF($A33="","",COUNTIF(Scoring!$B$2:$B$500,$A33))</x:f>
      </x:c>
      <x:c r="E33" s="18" t="str">
        <x:f>IF($A33="","",SUMIF(Scoring!$B$2:$B$500,$A33,Scoring!$O$2:$O$500))</x:f>
      </x:c>
      <x:c r="F33" s="18" t="str">
        <x:f>IF($A33="","",IF($D33=0,"Signed up, stayed silent",IF($E33=MAX($E$4:$E$103),"In the title race","Active")))</x:f>
      </x:c>
    </x:row>
    <x:row r="34">
      <x:c r="A34" s="18" t="n">
        <x:f>Leaderboard!B34</x:f>
        <x:v>0</x:v>
      </x:c>
      <x:c r="B34" s="18"/>
      <x:c r="C34" s="18"/>
      <x:c r="D34" s="18" t="str">
        <x:f>IF($A34="","",COUNTIF(Scoring!$B$2:$B$500,$A34))</x:f>
      </x:c>
      <x:c r="E34" s="18" t="str">
        <x:f>IF($A34="","",SUMIF(Scoring!$B$2:$B$500,$A34,Scoring!$O$2:$O$500))</x:f>
      </x:c>
      <x:c r="F34" s="18" t="str">
        <x:f>IF($A34="","",IF($D34=0,"Signed up, stayed silent",IF($E34=MAX($E$4:$E$103),"In the title race","Active")))</x:f>
      </x:c>
    </x:row>
    <x:row r="35">
      <x:c r="A35" s="18" t="n">
        <x:f>Leaderboard!B35</x:f>
        <x:v>0</x:v>
      </x:c>
      <x:c r="B35" s="18"/>
      <x:c r="C35" s="18"/>
      <x:c r="D35" s="18" t="str">
        <x:f>IF($A35="","",COUNTIF(Scoring!$B$2:$B$500,$A35))</x:f>
      </x:c>
      <x:c r="E35" s="18" t="str">
        <x:f>IF($A35="","",SUMIF(Scoring!$B$2:$B$500,$A35,Scoring!$O$2:$O$500))</x:f>
      </x:c>
      <x:c r="F35" s="18" t="str">
        <x:f>IF($A35="","",IF($D35=0,"Signed up, stayed silent",IF($E35=MAX($E$4:$E$103),"In the title race","Active")))</x:f>
      </x:c>
    </x:row>
    <x:row r="36">
      <x:c r="A36" s="18" t="n">
        <x:f>Leaderboard!B36</x:f>
        <x:v>0</x:v>
      </x:c>
      <x:c r="B36" s="18"/>
      <x:c r="C36" s="18"/>
      <x:c r="D36" s="18" t="str">
        <x:f>IF($A36="","",COUNTIF(Scoring!$B$2:$B$500,$A36))</x:f>
      </x:c>
      <x:c r="E36" s="18" t="str">
        <x:f>IF($A36="","",SUMIF(Scoring!$B$2:$B$500,$A36,Scoring!$O$2:$O$500))</x:f>
      </x:c>
      <x:c r="F36" s="18" t="str">
        <x:f>IF($A36="","",IF($D36=0,"Signed up, stayed silent",IF($E36=MAX($E$4:$E$103),"In the title race","Active")))</x:f>
      </x:c>
    </x:row>
    <x:row r="37">
      <x:c r="A37" s="18" t="n">
        <x:f>Leaderboard!B37</x:f>
        <x:v>0</x:v>
      </x:c>
      <x:c r="B37" s="18"/>
      <x:c r="C37" s="18"/>
      <x:c r="D37" s="18" t="str">
        <x:f>IF($A37="","",COUNTIF(Scoring!$B$2:$B$500,$A37))</x:f>
      </x:c>
      <x:c r="E37" s="18" t="str">
        <x:f>IF($A37="","",SUMIF(Scoring!$B$2:$B$500,$A37,Scoring!$O$2:$O$500))</x:f>
      </x:c>
      <x:c r="F37" s="18" t="str">
        <x:f>IF($A37="","",IF($D37=0,"Signed up, stayed silent",IF($E37=MAX($E$4:$E$103),"In the title race","Active")))</x:f>
      </x:c>
    </x:row>
    <x:row r="38">
      <x:c r="A38" s="18" t="n">
        <x:f>Leaderboard!B38</x:f>
        <x:v>0</x:v>
      </x:c>
      <x:c r="B38" s="18"/>
      <x:c r="C38" s="18"/>
      <x:c r="D38" s="18" t="str">
        <x:f>IF($A38="","",COUNTIF(Scoring!$B$2:$B$500,$A38))</x:f>
      </x:c>
      <x:c r="E38" s="18" t="str">
        <x:f>IF($A38="","",SUMIF(Scoring!$B$2:$B$500,$A38,Scoring!$O$2:$O$500))</x:f>
      </x:c>
      <x:c r="F38" s="18" t="str">
        <x:f>IF($A38="","",IF($D38=0,"Signed up, stayed silent",IF($E38=MAX($E$4:$E$103),"In the title race","Active")))</x:f>
      </x:c>
    </x:row>
    <x:row r="39">
      <x:c r="A39" s="18" t="n">
        <x:f>Leaderboard!B39</x:f>
        <x:v>0</x:v>
      </x:c>
      <x:c r="B39" s="18"/>
      <x:c r="C39" s="18"/>
      <x:c r="D39" s="18" t="str">
        <x:f>IF($A39="","",COUNTIF(Scoring!$B$2:$B$500,$A39))</x:f>
      </x:c>
      <x:c r="E39" s="18" t="str">
        <x:f>IF($A39="","",SUMIF(Scoring!$B$2:$B$500,$A39,Scoring!$O$2:$O$500))</x:f>
      </x:c>
      <x:c r="F39" s="18" t="str">
        <x:f>IF($A39="","",IF($D39=0,"Signed up, stayed silent",IF($E39=MAX($E$4:$E$103),"In the title race","Active")))</x:f>
      </x:c>
    </x:row>
    <x:row r="40">
      <x:c r="A40" s="18" t="n">
        <x:f>Leaderboard!B40</x:f>
        <x:v>0</x:v>
      </x:c>
      <x:c r="B40" s="18"/>
      <x:c r="C40" s="18"/>
      <x:c r="D40" s="18" t="str">
        <x:f>IF($A40="","",COUNTIF(Scoring!$B$2:$B$500,$A40))</x:f>
      </x:c>
      <x:c r="E40" s="18" t="str">
        <x:f>IF($A40="","",SUMIF(Scoring!$B$2:$B$500,$A40,Scoring!$O$2:$O$500))</x:f>
      </x:c>
      <x:c r="F40" s="18" t="str">
        <x:f>IF($A40="","",IF($D40=0,"Signed up, stayed silent",IF($E40=MAX($E$4:$E$103),"In the title race","Active")))</x:f>
      </x:c>
    </x:row>
    <x:row r="41">
      <x:c r="A41" s="18" t="n">
        <x:f>Leaderboard!B41</x:f>
        <x:v>0</x:v>
      </x:c>
      <x:c r="B41" s="18"/>
      <x:c r="C41" s="18"/>
      <x:c r="D41" s="18" t="str">
        <x:f>IF($A41="","",COUNTIF(Scoring!$B$2:$B$500,$A41))</x:f>
      </x:c>
      <x:c r="E41" s="18" t="str">
        <x:f>IF($A41="","",SUMIF(Scoring!$B$2:$B$500,$A41,Scoring!$O$2:$O$500))</x:f>
      </x:c>
      <x:c r="F41" s="18" t="str">
        <x:f>IF($A41="","",IF($D41=0,"Signed up, stayed silent",IF($E41=MAX($E$4:$E$103),"In the title race","Active")))</x:f>
      </x:c>
    </x:row>
    <x:row r="42">
      <x:c r="A42" s="18" t="n">
        <x:f>Leaderboard!B42</x:f>
        <x:v>0</x:v>
      </x:c>
      <x:c r="B42" s="18"/>
      <x:c r="C42" s="18"/>
      <x:c r="D42" s="18" t="str">
        <x:f>IF($A42="","",COUNTIF(Scoring!$B$2:$B$500,$A42))</x:f>
      </x:c>
      <x:c r="E42" s="18" t="str">
        <x:f>IF($A42="","",SUMIF(Scoring!$B$2:$B$500,$A42,Scoring!$O$2:$O$500))</x:f>
      </x:c>
      <x:c r="F42" s="18" t="str">
        <x:f>IF($A42="","",IF($D42=0,"Signed up, stayed silent",IF($E42=MAX($E$4:$E$103),"In the title race","Active")))</x:f>
      </x:c>
    </x:row>
    <x:row r="43">
      <x:c r="A43" s="18" t="n">
        <x:f>Leaderboard!B43</x:f>
        <x:v>0</x:v>
      </x:c>
      <x:c r="B43" s="18"/>
      <x:c r="C43" s="18"/>
      <x:c r="D43" s="18" t="str">
        <x:f>IF($A43="","",COUNTIF(Scoring!$B$2:$B$500,$A43))</x:f>
      </x:c>
      <x:c r="E43" s="18" t="str">
        <x:f>IF($A43="","",SUMIF(Scoring!$B$2:$B$500,$A43,Scoring!$O$2:$O$500))</x:f>
      </x:c>
      <x:c r="F43" s="18" t="str">
        <x:f>IF($A43="","",IF($D43=0,"Signed up, stayed silent",IF($E43=MAX($E$4:$E$103),"In the title race","Active")))</x:f>
      </x:c>
    </x:row>
    <x:row r="44">
      <x:c r="A44" s="18" t="n">
        <x:f>Leaderboard!B44</x:f>
        <x:v>0</x:v>
      </x:c>
      <x:c r="B44" s="18"/>
      <x:c r="C44" s="18"/>
      <x:c r="D44" s="18" t="str">
        <x:f>IF($A44="","",COUNTIF(Scoring!$B$2:$B$500,$A44))</x:f>
      </x:c>
      <x:c r="E44" s="18" t="str">
        <x:f>IF($A44="","",SUMIF(Scoring!$B$2:$B$500,$A44,Scoring!$O$2:$O$500))</x:f>
      </x:c>
      <x:c r="F44" s="18" t="str">
        <x:f>IF($A44="","",IF($D44=0,"Signed up, stayed silent",IF($E44=MAX($E$4:$E$103),"In the title race","Active")))</x:f>
      </x:c>
    </x:row>
    <x:row r="45">
      <x:c r="A45" s="18" t="n">
        <x:f>Leaderboard!B45</x:f>
        <x:v>0</x:v>
      </x:c>
      <x:c r="B45" s="18"/>
      <x:c r="C45" s="18"/>
      <x:c r="D45" s="18" t="str">
        <x:f>IF($A45="","",COUNTIF(Scoring!$B$2:$B$500,$A45))</x:f>
      </x:c>
      <x:c r="E45" s="18" t="str">
        <x:f>IF($A45="","",SUMIF(Scoring!$B$2:$B$500,$A45,Scoring!$O$2:$O$500))</x:f>
      </x:c>
      <x:c r="F45" s="18" t="str">
        <x:f>IF($A45="","",IF($D45=0,"Signed up, stayed silent",IF($E45=MAX($E$4:$E$103),"In the title race","Active")))</x:f>
      </x:c>
    </x:row>
    <x:row r="46">
      <x:c r="A46" s="18" t="n">
        <x:f>Leaderboard!B46</x:f>
        <x:v>0</x:v>
      </x:c>
      <x:c r="B46" s="18"/>
      <x:c r="C46" s="18"/>
      <x:c r="D46" s="18" t="str">
        <x:f>IF($A46="","",COUNTIF(Scoring!$B$2:$B$500,$A46))</x:f>
      </x:c>
      <x:c r="E46" s="18" t="str">
        <x:f>IF($A46="","",SUMIF(Scoring!$B$2:$B$500,$A46,Scoring!$O$2:$O$500))</x:f>
      </x:c>
      <x:c r="F46" s="18" t="str">
        <x:f>IF($A46="","",IF($D46=0,"Signed up, stayed silent",IF($E46=MAX($E$4:$E$103),"In the title race","Active")))</x:f>
      </x:c>
    </x:row>
    <x:row r="47">
      <x:c r="A47" s="18" t="n">
        <x:f>Leaderboard!B47</x:f>
        <x:v>0</x:v>
      </x:c>
      <x:c r="B47" s="18"/>
      <x:c r="C47" s="18"/>
      <x:c r="D47" s="18" t="str">
        <x:f>IF($A47="","",COUNTIF(Scoring!$B$2:$B$500,$A47))</x:f>
      </x:c>
      <x:c r="E47" s="18" t="str">
        <x:f>IF($A47="","",SUMIF(Scoring!$B$2:$B$500,$A47,Scoring!$O$2:$O$500))</x:f>
      </x:c>
      <x:c r="F47" s="18" t="str">
        <x:f>IF($A47="","",IF($D47=0,"Signed up, stayed silent",IF($E47=MAX($E$4:$E$103),"In the title race","Active")))</x:f>
      </x:c>
    </x:row>
    <x:row r="48">
      <x:c r="A48" s="18" t="n">
        <x:f>Leaderboard!B48</x:f>
        <x:v>0</x:v>
      </x:c>
      <x:c r="B48" s="18"/>
      <x:c r="C48" s="18"/>
      <x:c r="D48" s="18" t="str">
        <x:f>IF($A48="","",COUNTIF(Scoring!$B$2:$B$500,$A48))</x:f>
      </x:c>
      <x:c r="E48" s="18" t="str">
        <x:f>IF($A48="","",SUMIF(Scoring!$B$2:$B$500,$A48,Scoring!$O$2:$O$500))</x:f>
      </x:c>
      <x:c r="F48" s="18" t="str">
        <x:f>IF($A48="","",IF($D48=0,"Signed up, stayed silent",IF($E48=MAX($E$4:$E$103),"In the title race","Active")))</x:f>
      </x:c>
    </x:row>
    <x:row r="49">
      <x:c r="A49" s="18" t="n">
        <x:f>Leaderboard!B49</x:f>
        <x:v>0</x:v>
      </x:c>
      <x:c r="B49" s="18"/>
      <x:c r="C49" s="18"/>
      <x:c r="D49" s="18" t="str">
        <x:f>IF($A49="","",COUNTIF(Scoring!$B$2:$B$500,$A49))</x:f>
      </x:c>
      <x:c r="E49" s="18" t="str">
        <x:f>IF($A49="","",SUMIF(Scoring!$B$2:$B$500,$A49,Scoring!$O$2:$O$500))</x:f>
      </x:c>
      <x:c r="F49" s="18" t="str">
        <x:f>IF($A49="","",IF($D49=0,"Signed up, stayed silent",IF($E49=MAX($E$4:$E$103),"In the title race","Active")))</x:f>
      </x:c>
    </x:row>
    <x:row r="50">
      <x:c r="A50" s="18" t="n">
        <x:f>Leaderboard!B50</x:f>
        <x:v>0</x:v>
      </x:c>
      <x:c r="B50" s="18"/>
      <x:c r="C50" s="18"/>
      <x:c r="D50" s="18" t="str">
        <x:f>IF($A50="","",COUNTIF(Scoring!$B$2:$B$500,$A50))</x:f>
      </x:c>
      <x:c r="E50" s="18" t="str">
        <x:f>IF($A50="","",SUMIF(Scoring!$B$2:$B$500,$A50,Scoring!$O$2:$O$500))</x:f>
      </x:c>
      <x:c r="F50" s="18" t="str">
        <x:f>IF($A50="","",IF($D50=0,"Signed up, stayed silent",IF($E50=MAX($E$4:$E$103),"In the title race","Active")))</x:f>
      </x:c>
    </x:row>
    <x:row r="51">
      <x:c r="A51" s="18" t="n">
        <x:f>Leaderboard!B51</x:f>
        <x:v>0</x:v>
      </x:c>
      <x:c r="B51" s="18"/>
      <x:c r="C51" s="18"/>
      <x:c r="D51" s="18" t="str">
        <x:f>IF($A51="","",COUNTIF(Scoring!$B$2:$B$500,$A51))</x:f>
      </x:c>
      <x:c r="E51" s="18" t="str">
        <x:f>IF($A51="","",SUMIF(Scoring!$B$2:$B$500,$A51,Scoring!$O$2:$O$500))</x:f>
      </x:c>
      <x:c r="F51" s="18" t="str">
        <x:f>IF($A51="","",IF($D51=0,"Signed up, stayed silent",IF($E51=MAX($E$4:$E$103),"In the title race","Active")))</x:f>
      </x:c>
    </x:row>
    <x:row r="52">
      <x:c r="A52" s="18" t="n">
        <x:f>Leaderboard!B52</x:f>
        <x:v>0</x:v>
      </x:c>
      <x:c r="B52" s="18"/>
      <x:c r="C52" s="18"/>
      <x:c r="D52" s="18" t="str">
        <x:f>IF($A52="","",COUNTIF(Scoring!$B$2:$B$500,$A52))</x:f>
      </x:c>
      <x:c r="E52" s="18" t="str">
        <x:f>IF($A52="","",SUMIF(Scoring!$B$2:$B$500,$A52,Scoring!$O$2:$O$500))</x:f>
      </x:c>
      <x:c r="F52" s="18" t="str">
        <x:f>IF($A52="","",IF($D52=0,"Signed up, stayed silent",IF($E52=MAX($E$4:$E$103),"In the title race","Active")))</x:f>
      </x:c>
    </x:row>
    <x:row r="53">
      <x:c r="A53" s="18" t="n">
        <x:f>Leaderboard!B53</x:f>
        <x:v>0</x:v>
      </x:c>
      <x:c r="B53" s="18"/>
      <x:c r="C53" s="18"/>
      <x:c r="D53" s="18" t="str">
        <x:f>IF($A53="","",COUNTIF(Scoring!$B$2:$B$500,$A53))</x:f>
      </x:c>
      <x:c r="E53" s="18" t="str">
        <x:f>IF($A53="","",SUMIF(Scoring!$B$2:$B$500,$A53,Scoring!$O$2:$O$500))</x:f>
      </x:c>
      <x:c r="F53" s="18" t="str">
        <x:f>IF($A53="","",IF($D53=0,"Signed up, stayed silent",IF($E53=MAX($E$4:$E$103),"In the title race","Active")))</x:f>
      </x:c>
    </x:row>
    <x:row r="54">
      <x:c r="A54" s="18" t="n">
        <x:f>Leaderboard!B54</x:f>
        <x:v>0</x:v>
      </x:c>
      <x:c r="B54" s="18"/>
      <x:c r="C54" s="18"/>
      <x:c r="D54" s="18" t="str">
        <x:f>IF($A54="","",COUNTIF(Scoring!$B$2:$B$500,$A54))</x:f>
      </x:c>
      <x:c r="E54" s="18" t="str">
        <x:f>IF($A54="","",SUMIF(Scoring!$B$2:$B$500,$A54,Scoring!$O$2:$O$500))</x:f>
      </x:c>
      <x:c r="F54" s="18" t="str">
        <x:f>IF($A54="","",IF($D54=0,"Signed up, stayed silent",IF($E54=MAX($E$4:$E$103),"In the title race","Active")))</x:f>
      </x:c>
    </x:row>
    <x:row r="55">
      <x:c r="A55" s="18" t="n">
        <x:f>Leaderboard!B55</x:f>
        <x:v>0</x:v>
      </x:c>
      <x:c r="B55" s="18"/>
      <x:c r="C55" s="18"/>
      <x:c r="D55" s="18" t="str">
        <x:f>IF($A55="","",COUNTIF(Scoring!$B$2:$B$500,$A55))</x:f>
      </x:c>
      <x:c r="E55" s="18" t="str">
        <x:f>IF($A55="","",SUMIF(Scoring!$B$2:$B$500,$A55,Scoring!$O$2:$O$500))</x:f>
      </x:c>
      <x:c r="F55" s="18" t="str">
        <x:f>IF($A55="","",IF($D55=0,"Signed up, stayed silent",IF($E55=MAX($E$4:$E$103),"In the title race","Active")))</x:f>
      </x:c>
    </x:row>
    <x:row r="56">
      <x:c r="A56" s="18" t="n">
        <x:f>Leaderboard!B56</x:f>
        <x:v>0</x:v>
      </x:c>
      <x:c r="B56" s="18"/>
      <x:c r="C56" s="18"/>
      <x:c r="D56" s="18" t="str">
        <x:f>IF($A56="","",COUNTIF(Scoring!$B$2:$B$500,$A56))</x:f>
      </x:c>
      <x:c r="E56" s="18" t="str">
        <x:f>IF($A56="","",SUMIF(Scoring!$B$2:$B$500,$A56,Scoring!$O$2:$O$500))</x:f>
      </x:c>
      <x:c r="F56" s="18" t="str">
        <x:f>IF($A56="","",IF($D56=0,"Signed up, stayed silent",IF($E56=MAX($E$4:$E$103),"In the title race","Active")))</x:f>
      </x:c>
    </x:row>
    <x:row r="57">
      <x:c r="A57" s="18" t="n">
        <x:f>Leaderboard!B57</x:f>
        <x:v>0</x:v>
      </x:c>
      <x:c r="B57" s="18"/>
      <x:c r="C57" s="18"/>
      <x:c r="D57" s="18" t="str">
        <x:f>IF($A57="","",COUNTIF(Scoring!$B$2:$B$500,$A57))</x:f>
      </x:c>
      <x:c r="E57" s="18" t="str">
        <x:f>IF($A57="","",SUMIF(Scoring!$B$2:$B$500,$A57,Scoring!$O$2:$O$500))</x:f>
      </x:c>
      <x:c r="F57" s="18" t="str">
        <x:f>IF($A57="","",IF($D57=0,"Signed up, stayed silent",IF($E57=MAX($E$4:$E$103),"In the title race","Active")))</x:f>
      </x:c>
    </x:row>
    <x:row r="58">
      <x:c r="A58" s="18" t="n">
        <x:f>Leaderboard!B58</x:f>
        <x:v>0</x:v>
      </x:c>
      <x:c r="B58" s="18"/>
      <x:c r="C58" s="18"/>
      <x:c r="D58" s="18" t="str">
        <x:f>IF($A58="","",COUNTIF(Scoring!$B$2:$B$500,$A58))</x:f>
      </x:c>
      <x:c r="E58" s="18" t="str">
        <x:f>IF($A58="","",SUMIF(Scoring!$B$2:$B$500,$A58,Scoring!$O$2:$O$500))</x:f>
      </x:c>
      <x:c r="F58" s="18" t="str">
        <x:f>IF($A58="","",IF($D58=0,"Signed up, stayed silent",IF($E58=MAX($E$4:$E$103),"In the title race","Active")))</x:f>
      </x:c>
    </x:row>
    <x:row r="59">
      <x:c r="A59" s="18" t="n">
        <x:f>Leaderboard!B59</x:f>
        <x:v>0</x:v>
      </x:c>
      <x:c r="B59" s="18"/>
      <x:c r="C59" s="18"/>
      <x:c r="D59" s="18" t="str">
        <x:f>IF($A59="","",COUNTIF(Scoring!$B$2:$B$500,$A59))</x:f>
      </x:c>
      <x:c r="E59" s="18" t="str">
        <x:f>IF($A59="","",SUMIF(Scoring!$B$2:$B$500,$A59,Scoring!$O$2:$O$500))</x:f>
      </x:c>
      <x:c r="F59" s="18" t="str">
        <x:f>IF($A59="","",IF($D59=0,"Signed up, stayed silent",IF($E59=MAX($E$4:$E$103),"In the title race","Active")))</x:f>
      </x:c>
    </x:row>
    <x:row r="60">
      <x:c r="A60" s="18" t="n">
        <x:f>Leaderboard!B60</x:f>
        <x:v>0</x:v>
      </x:c>
      <x:c r="B60" s="18"/>
      <x:c r="C60" s="18"/>
      <x:c r="D60" s="18" t="str">
        <x:f>IF($A60="","",COUNTIF(Scoring!$B$2:$B$500,$A60))</x:f>
      </x:c>
      <x:c r="E60" s="18" t="str">
        <x:f>IF($A60="","",SUMIF(Scoring!$B$2:$B$500,$A60,Scoring!$O$2:$O$500))</x:f>
      </x:c>
      <x:c r="F60" s="18" t="str">
        <x:f>IF($A60="","",IF($D60=0,"Signed up, stayed silent",IF($E60=MAX($E$4:$E$103),"In the title race","Active")))</x:f>
      </x:c>
    </x:row>
    <x:row r="61">
      <x:c r="A61" s="18" t="n">
        <x:f>Leaderboard!B61</x:f>
        <x:v>0</x:v>
      </x:c>
      <x:c r="B61" s="18"/>
      <x:c r="C61" s="18"/>
      <x:c r="D61" s="18" t="str">
        <x:f>IF($A61="","",COUNTIF(Scoring!$B$2:$B$500,$A61))</x:f>
      </x:c>
      <x:c r="E61" s="18" t="str">
        <x:f>IF($A61="","",SUMIF(Scoring!$B$2:$B$500,$A61,Scoring!$O$2:$O$500))</x:f>
      </x:c>
      <x:c r="F61" s="18" t="str">
        <x:f>IF($A61="","",IF($D61=0,"Signed up, stayed silent",IF($E61=MAX($E$4:$E$103),"In the title race","Active")))</x:f>
      </x:c>
    </x:row>
    <x:row r="62">
      <x:c r="A62" s="18" t="n">
        <x:f>Leaderboard!B62</x:f>
        <x:v>0</x:v>
      </x:c>
      <x:c r="B62" s="18"/>
      <x:c r="C62" s="18"/>
      <x:c r="D62" s="18" t="str">
        <x:f>IF($A62="","",COUNTIF(Scoring!$B$2:$B$500,$A62))</x:f>
      </x:c>
      <x:c r="E62" s="18" t="str">
        <x:f>IF($A62="","",SUMIF(Scoring!$B$2:$B$500,$A62,Scoring!$O$2:$O$500))</x:f>
      </x:c>
      <x:c r="F62" s="18" t="str">
        <x:f>IF($A62="","",IF($D62=0,"Signed up, stayed silent",IF($E62=MAX($E$4:$E$103),"In the title race","Active")))</x:f>
      </x:c>
    </x:row>
    <x:row r="63">
      <x:c r="A63" s="18" t="n">
        <x:f>Leaderboard!B63</x:f>
        <x:v>0</x:v>
      </x:c>
      <x:c r="B63" s="18"/>
      <x:c r="C63" s="18"/>
      <x:c r="D63" s="18" t="str">
        <x:f>IF($A63="","",COUNTIF(Scoring!$B$2:$B$500,$A63))</x:f>
      </x:c>
      <x:c r="E63" s="18" t="str">
        <x:f>IF($A63="","",SUMIF(Scoring!$B$2:$B$500,$A63,Scoring!$O$2:$O$500))</x:f>
      </x:c>
      <x:c r="F63" s="18" t="str">
        <x:f>IF($A63="","",IF($D63=0,"Signed up, stayed silent",IF($E63=MAX($E$4:$E$103),"In the title race","Active")))</x:f>
      </x:c>
    </x:row>
    <x:row r="64">
      <x:c r="A64" s="18" t="n">
        <x:f>Leaderboard!B64</x:f>
        <x:v>0</x:v>
      </x:c>
      <x:c r="B64" s="18"/>
      <x:c r="C64" s="18"/>
      <x:c r="D64" s="18" t="str">
        <x:f>IF($A64="","",COUNTIF(Scoring!$B$2:$B$500,$A64))</x:f>
      </x:c>
      <x:c r="E64" s="18" t="str">
        <x:f>IF($A64="","",SUMIF(Scoring!$B$2:$B$500,$A64,Scoring!$O$2:$O$500))</x:f>
      </x:c>
      <x:c r="F64" s="18" t="str">
        <x:f>IF($A64="","",IF($D64=0,"Signed up, stayed silent",IF($E64=MAX($E$4:$E$103),"In the title race","Active")))</x:f>
      </x:c>
    </x:row>
    <x:row r="65">
      <x:c r="A65" s="18" t="n">
        <x:f>Leaderboard!B65</x:f>
        <x:v>0</x:v>
      </x:c>
      <x:c r="B65" s="18"/>
      <x:c r="C65" s="18"/>
      <x:c r="D65" s="18" t="str">
        <x:f>IF($A65="","",COUNTIF(Scoring!$B$2:$B$500,$A65))</x:f>
      </x:c>
      <x:c r="E65" s="18" t="str">
        <x:f>IF($A65="","",SUMIF(Scoring!$B$2:$B$500,$A65,Scoring!$O$2:$O$500))</x:f>
      </x:c>
      <x:c r="F65" s="18" t="str">
        <x:f>IF($A65="","",IF($D65=0,"Signed up, stayed silent",IF($E65=MAX($E$4:$E$103),"In the title race","Active")))</x:f>
      </x:c>
    </x:row>
    <x:row r="66">
      <x:c r="A66" s="18" t="n">
        <x:f>Leaderboard!B66</x:f>
        <x:v>0</x:v>
      </x:c>
      <x:c r="B66" s="18"/>
      <x:c r="C66" s="18"/>
      <x:c r="D66" s="18" t="str">
        <x:f>IF($A66="","",COUNTIF(Scoring!$B$2:$B$500,$A66))</x:f>
      </x:c>
      <x:c r="E66" s="18" t="str">
        <x:f>IF($A66="","",SUMIF(Scoring!$B$2:$B$500,$A66,Scoring!$O$2:$O$500))</x:f>
      </x:c>
      <x:c r="F66" s="18" t="str">
        <x:f>IF($A66="","",IF($D66=0,"Signed up, stayed silent",IF($E66=MAX($E$4:$E$103),"In the title race","Active")))</x:f>
      </x:c>
    </x:row>
    <x:row r="67">
      <x:c r="A67" s="18" t="n">
        <x:f>Leaderboard!B67</x:f>
        <x:v>0</x:v>
      </x:c>
      <x:c r="B67" s="18"/>
      <x:c r="C67" s="18"/>
      <x:c r="D67" s="18" t="str">
        <x:f>IF($A67="","",COUNTIF(Scoring!$B$2:$B$500,$A67))</x:f>
      </x:c>
      <x:c r="E67" s="18" t="str">
        <x:f>IF($A67="","",SUMIF(Scoring!$B$2:$B$500,$A67,Scoring!$O$2:$O$500))</x:f>
      </x:c>
      <x:c r="F67" s="18" t="str">
        <x:f>IF($A67="","",IF($D67=0,"Signed up, stayed silent",IF($E67=MAX($E$4:$E$103),"In the title race","Active")))</x:f>
      </x:c>
    </x:row>
    <x:row r="68">
      <x:c r="A68" s="18" t="n">
        <x:f>Leaderboard!B68</x:f>
        <x:v>0</x:v>
      </x:c>
      <x:c r="B68" s="18"/>
      <x:c r="C68" s="18"/>
      <x:c r="D68" s="18" t="str">
        <x:f>IF($A68="","",COUNTIF(Scoring!$B$2:$B$500,$A68))</x:f>
      </x:c>
      <x:c r="E68" s="18" t="str">
        <x:f>IF($A68="","",SUMIF(Scoring!$B$2:$B$500,$A68,Scoring!$O$2:$O$500))</x:f>
      </x:c>
      <x:c r="F68" s="18" t="str">
        <x:f>IF($A68="","",IF($D68=0,"Signed up, stayed silent",IF($E68=MAX($E$4:$E$103),"In the title race","Active")))</x:f>
      </x:c>
    </x:row>
    <x:row r="69">
      <x:c r="A69" s="18" t="n">
        <x:f>Leaderboard!B69</x:f>
        <x:v>0</x:v>
      </x:c>
      <x:c r="B69" s="18"/>
      <x:c r="C69" s="18"/>
      <x:c r="D69" s="18" t="str">
        <x:f>IF($A69="","",COUNTIF(Scoring!$B$2:$B$500,$A69))</x:f>
      </x:c>
      <x:c r="E69" s="18" t="str">
        <x:f>IF($A69="","",SUMIF(Scoring!$B$2:$B$500,$A69,Scoring!$O$2:$O$500))</x:f>
      </x:c>
      <x:c r="F69" s="18" t="str">
        <x:f>IF($A69="","",IF($D69=0,"Signed up, stayed silent",IF($E69=MAX($E$4:$E$103),"In the title race","Active")))</x:f>
      </x:c>
    </x:row>
    <x:row r="70">
      <x:c r="A70" s="18" t="n">
        <x:f>Leaderboard!B70</x:f>
        <x:v>0</x:v>
      </x:c>
      <x:c r="B70" s="18"/>
      <x:c r="C70" s="18"/>
      <x:c r="D70" s="18" t="str">
        <x:f>IF($A70="","",COUNTIF(Scoring!$B$2:$B$500,$A70))</x:f>
      </x:c>
      <x:c r="E70" s="18" t="str">
        <x:f>IF($A70="","",SUMIF(Scoring!$B$2:$B$500,$A70,Scoring!$O$2:$O$500))</x:f>
      </x:c>
      <x:c r="F70" s="18" t="str">
        <x:f>IF($A70="","",IF($D70=0,"Signed up, stayed silent",IF($E70=MAX($E$4:$E$103),"In the title race","Active")))</x:f>
      </x:c>
    </x:row>
    <x:row r="71">
      <x:c r="A71" s="18" t="n">
        <x:f>Leaderboard!B71</x:f>
        <x:v>0</x:v>
      </x:c>
      <x:c r="B71" s="18"/>
      <x:c r="C71" s="18"/>
      <x:c r="D71" s="18" t="str">
        <x:f>IF($A71="","",COUNTIF(Scoring!$B$2:$B$500,$A71))</x:f>
      </x:c>
      <x:c r="E71" s="18" t="str">
        <x:f>IF($A71="","",SUMIF(Scoring!$B$2:$B$500,$A71,Scoring!$O$2:$O$500))</x:f>
      </x:c>
      <x:c r="F71" s="18" t="str">
        <x:f>IF($A71="","",IF($D71=0,"Signed up, stayed silent",IF($E71=MAX($E$4:$E$103),"In the title race","Active")))</x:f>
      </x:c>
    </x:row>
    <x:row r="72">
      <x:c r="A72" s="18" t="n">
        <x:f>Leaderboard!B72</x:f>
        <x:v>0</x:v>
      </x:c>
      <x:c r="B72" s="18"/>
      <x:c r="C72" s="18"/>
      <x:c r="D72" s="18" t="str">
        <x:f>IF($A72="","",COUNTIF(Scoring!$B$2:$B$500,$A72))</x:f>
      </x:c>
      <x:c r="E72" s="18" t="str">
        <x:f>IF($A72="","",SUMIF(Scoring!$B$2:$B$500,$A72,Scoring!$O$2:$O$500))</x:f>
      </x:c>
      <x:c r="F72" s="18" t="str">
        <x:f>IF($A72="","",IF($D72=0,"Signed up, stayed silent",IF($E72=MAX($E$4:$E$103),"In the title race","Active")))</x:f>
      </x:c>
    </x:row>
    <x:row r="73">
      <x:c r="A73" s="18" t="n">
        <x:f>Leaderboard!B73</x:f>
        <x:v>0</x:v>
      </x:c>
      <x:c r="B73" s="18"/>
      <x:c r="C73" s="18"/>
      <x:c r="D73" s="18" t="str">
        <x:f>IF($A73="","",COUNTIF(Scoring!$B$2:$B$500,$A73))</x:f>
      </x:c>
      <x:c r="E73" s="18" t="str">
        <x:f>IF($A73="","",SUMIF(Scoring!$B$2:$B$500,$A73,Scoring!$O$2:$O$500))</x:f>
      </x:c>
      <x:c r="F73" s="18" t="str">
        <x:f>IF($A73="","",IF($D73=0,"Signed up, stayed silent",IF($E73=MAX($E$4:$E$103),"In the title race","Active")))</x:f>
      </x:c>
    </x:row>
    <x:row r="74">
      <x:c r="A74" s="18" t="n">
        <x:f>Leaderboard!B74</x:f>
        <x:v>0</x:v>
      </x:c>
      <x:c r="B74" s="18"/>
      <x:c r="C74" s="18"/>
      <x:c r="D74" s="18" t="str">
        <x:f>IF($A74="","",COUNTIF(Scoring!$B$2:$B$500,$A74))</x:f>
      </x:c>
      <x:c r="E74" s="18" t="str">
        <x:f>IF($A74="","",SUMIF(Scoring!$B$2:$B$500,$A74,Scoring!$O$2:$O$500))</x:f>
      </x:c>
      <x:c r="F74" s="18" t="str">
        <x:f>IF($A74="","",IF($D74=0,"Signed up, stayed silent",IF($E74=MAX($E$4:$E$103),"In the title race","Active")))</x:f>
      </x:c>
    </x:row>
    <x:row r="75">
      <x:c r="A75" s="18" t="n">
        <x:f>Leaderboard!B75</x:f>
        <x:v>0</x:v>
      </x:c>
      <x:c r="B75" s="18"/>
      <x:c r="C75" s="18"/>
      <x:c r="D75" s="18" t="str">
        <x:f>IF($A75="","",COUNTIF(Scoring!$B$2:$B$500,$A75))</x:f>
      </x:c>
      <x:c r="E75" s="18" t="str">
        <x:f>IF($A75="","",SUMIF(Scoring!$B$2:$B$500,$A75,Scoring!$O$2:$O$500))</x:f>
      </x:c>
      <x:c r="F75" s="18" t="str">
        <x:f>IF($A75="","",IF($D75=0,"Signed up, stayed silent",IF($E75=MAX($E$4:$E$103),"In the title race","Active")))</x:f>
      </x:c>
    </x:row>
    <x:row r="76">
      <x:c r="A76" s="18" t="n">
        <x:f>Leaderboard!B76</x:f>
        <x:v>0</x:v>
      </x:c>
      <x:c r="B76" s="18"/>
      <x:c r="C76" s="18"/>
      <x:c r="D76" s="18" t="str">
        <x:f>IF($A76="","",COUNTIF(Scoring!$B$2:$B$500,$A76))</x:f>
      </x:c>
      <x:c r="E76" s="18" t="str">
        <x:f>IF($A76="","",SUMIF(Scoring!$B$2:$B$500,$A76,Scoring!$O$2:$O$500))</x:f>
      </x:c>
      <x:c r="F76" s="18" t="str">
        <x:f>IF($A76="","",IF($D76=0,"Signed up, stayed silent",IF($E76=MAX($E$4:$E$103),"In the title race","Active")))</x:f>
      </x:c>
    </x:row>
    <x:row r="77">
      <x:c r="A77" s="18" t="n">
        <x:f>Leaderboard!B77</x:f>
        <x:v>0</x:v>
      </x:c>
      <x:c r="B77" s="18"/>
      <x:c r="C77" s="18"/>
      <x:c r="D77" s="18" t="str">
        <x:f>IF($A77="","",COUNTIF(Scoring!$B$2:$B$500,$A77))</x:f>
      </x:c>
      <x:c r="E77" s="18" t="str">
        <x:f>IF($A77="","",SUMIF(Scoring!$B$2:$B$500,$A77,Scoring!$O$2:$O$500))</x:f>
      </x:c>
      <x:c r="F77" s="18" t="str">
        <x:f>IF($A77="","",IF($D77=0,"Signed up, stayed silent",IF($E77=MAX($E$4:$E$103),"In the title race","Active")))</x:f>
      </x:c>
    </x:row>
    <x:row r="78">
      <x:c r="A78" s="18" t="n">
        <x:f>Leaderboard!B78</x:f>
        <x:v>0</x:v>
      </x:c>
      <x:c r="B78" s="18"/>
      <x:c r="C78" s="18"/>
      <x:c r="D78" s="18" t="str">
        <x:f>IF($A78="","",COUNTIF(Scoring!$B$2:$B$500,$A78))</x:f>
      </x:c>
      <x:c r="E78" s="18" t="str">
        <x:f>IF($A78="","",SUMIF(Scoring!$B$2:$B$500,$A78,Scoring!$O$2:$O$500))</x:f>
      </x:c>
      <x:c r="F78" s="18" t="str">
        <x:f>IF($A78="","",IF($D78=0,"Signed up, stayed silent",IF($E78=MAX($E$4:$E$103),"In the title race","Active")))</x:f>
      </x:c>
    </x:row>
    <x:row r="79">
      <x:c r="A79" s="18" t="n">
        <x:f>Leaderboard!B79</x:f>
        <x:v>0</x:v>
      </x:c>
      <x:c r="B79" s="18"/>
      <x:c r="C79" s="18"/>
      <x:c r="D79" s="18" t="str">
        <x:f>IF($A79="","",COUNTIF(Scoring!$B$2:$B$500,$A79))</x:f>
      </x:c>
      <x:c r="E79" s="18" t="str">
        <x:f>IF($A79="","",SUMIF(Scoring!$B$2:$B$500,$A79,Scoring!$O$2:$O$500))</x:f>
      </x:c>
      <x:c r="F79" s="18" t="str">
        <x:f>IF($A79="","",IF($D79=0,"Signed up, stayed silent",IF($E79=MAX($E$4:$E$103),"In the title race","Active")))</x:f>
      </x:c>
    </x:row>
    <x:row r="80">
      <x:c r="A80" s="18" t="n">
        <x:f>Leaderboard!B80</x:f>
        <x:v>0</x:v>
      </x:c>
      <x:c r="B80" s="18"/>
      <x:c r="C80" s="18"/>
      <x:c r="D80" s="18" t="str">
        <x:f>IF($A80="","",COUNTIF(Scoring!$B$2:$B$500,$A80))</x:f>
      </x:c>
      <x:c r="E80" s="18" t="str">
        <x:f>IF($A80="","",SUMIF(Scoring!$B$2:$B$500,$A80,Scoring!$O$2:$O$500))</x:f>
      </x:c>
      <x:c r="F80" s="18" t="str">
        <x:f>IF($A80="","",IF($D80=0,"Signed up, stayed silent",IF($E80=MAX($E$4:$E$103),"In the title race","Active")))</x:f>
      </x:c>
    </x:row>
    <x:row r="81">
      <x:c r="A81" s="18" t="n">
        <x:f>Leaderboard!B81</x:f>
        <x:v>0</x:v>
      </x:c>
      <x:c r="B81" s="18"/>
      <x:c r="C81" s="18"/>
      <x:c r="D81" s="18" t="str">
        <x:f>IF($A81="","",COUNTIF(Scoring!$B$2:$B$500,$A81))</x:f>
      </x:c>
      <x:c r="E81" s="18" t="str">
        <x:f>IF($A81="","",SUMIF(Scoring!$B$2:$B$500,$A81,Scoring!$O$2:$O$500))</x:f>
      </x:c>
      <x:c r="F81" s="18" t="str">
        <x:f>IF($A81="","",IF($D81=0,"Signed up, stayed silent",IF($E81=MAX($E$4:$E$103),"In the title race","Active")))</x:f>
      </x:c>
    </x:row>
    <x:row r="82">
      <x:c r="A82" s="18" t="n">
        <x:f>Leaderboard!B82</x:f>
        <x:v>0</x:v>
      </x:c>
      <x:c r="B82" s="18"/>
      <x:c r="C82" s="18"/>
      <x:c r="D82" s="18" t="str">
        <x:f>IF($A82="","",COUNTIF(Scoring!$B$2:$B$500,$A82))</x:f>
      </x:c>
      <x:c r="E82" s="18" t="str">
        <x:f>IF($A82="","",SUMIF(Scoring!$B$2:$B$500,$A82,Scoring!$O$2:$O$500))</x:f>
      </x:c>
      <x:c r="F82" s="18" t="str">
        <x:f>IF($A82="","",IF($D82=0,"Signed up, stayed silent",IF($E82=MAX($E$4:$E$103),"In the title race","Active")))</x:f>
      </x:c>
    </x:row>
    <x:row r="83">
      <x:c r="A83" s="18" t="n">
        <x:f>Leaderboard!B83</x:f>
        <x:v>0</x:v>
      </x:c>
      <x:c r="B83" s="18"/>
      <x:c r="C83" s="18"/>
      <x:c r="D83" s="18" t="str">
        <x:f>IF($A83="","",COUNTIF(Scoring!$B$2:$B$500,$A83))</x:f>
      </x:c>
      <x:c r="E83" s="18" t="str">
        <x:f>IF($A83="","",SUMIF(Scoring!$B$2:$B$500,$A83,Scoring!$O$2:$O$500))</x:f>
      </x:c>
      <x:c r="F83" s="18" t="str">
        <x:f>IF($A83="","",IF($D83=0,"Signed up, stayed silent",IF($E83=MAX($E$4:$E$103),"In the title race","Active")))</x:f>
      </x:c>
    </x:row>
    <x:row r="84">
      <x:c r="A84" s="18" t="n">
        <x:f>Leaderboard!B84</x:f>
        <x:v>0</x:v>
      </x:c>
      <x:c r="B84" s="18"/>
      <x:c r="C84" s="18"/>
      <x:c r="D84" s="18" t="str">
        <x:f>IF($A84="","",COUNTIF(Scoring!$B$2:$B$500,$A84))</x:f>
      </x:c>
      <x:c r="E84" s="18" t="str">
        <x:f>IF($A84="","",SUMIF(Scoring!$B$2:$B$500,$A84,Scoring!$O$2:$O$500))</x:f>
      </x:c>
      <x:c r="F84" s="18" t="str">
        <x:f>IF($A84="","",IF($D84=0,"Signed up, stayed silent",IF($E84=MAX($E$4:$E$103),"In the title race","Active")))</x:f>
      </x:c>
    </x:row>
    <x:row r="85">
      <x:c r="A85" s="18" t="n">
        <x:f>Leaderboard!B85</x:f>
        <x:v>0</x:v>
      </x:c>
      <x:c r="B85" s="18"/>
      <x:c r="C85" s="18"/>
      <x:c r="D85" s="18" t="str">
        <x:f>IF($A85="","",COUNTIF(Scoring!$B$2:$B$500,$A85))</x:f>
      </x:c>
      <x:c r="E85" s="18" t="str">
        <x:f>IF($A85="","",SUMIF(Scoring!$B$2:$B$500,$A85,Scoring!$O$2:$O$500))</x:f>
      </x:c>
      <x:c r="F85" s="18" t="str">
        <x:f>IF($A85="","",IF($D85=0,"Signed up, stayed silent",IF($E85=MAX($E$4:$E$103),"In the title race","Active")))</x:f>
      </x:c>
    </x:row>
    <x:row r="86">
      <x:c r="A86" s="18" t="n">
        <x:f>Leaderboard!B86</x:f>
        <x:v>0</x:v>
      </x:c>
      <x:c r="B86" s="18"/>
      <x:c r="C86" s="18"/>
      <x:c r="D86" s="18" t="str">
        <x:f>IF($A86="","",COUNTIF(Scoring!$B$2:$B$500,$A86))</x:f>
      </x:c>
      <x:c r="E86" s="18" t="str">
        <x:f>IF($A86="","",SUMIF(Scoring!$B$2:$B$500,$A86,Scoring!$O$2:$O$500))</x:f>
      </x:c>
      <x:c r="F86" s="18" t="str">
        <x:f>IF($A86="","",IF($D86=0,"Signed up, stayed silent",IF($E86=MAX($E$4:$E$103),"In the title race","Active")))</x:f>
      </x:c>
    </x:row>
    <x:row r="87">
      <x:c r="A87" s="18" t="n">
        <x:f>Leaderboard!B87</x:f>
        <x:v>0</x:v>
      </x:c>
      <x:c r="B87" s="18"/>
      <x:c r="C87" s="18"/>
      <x:c r="D87" s="18" t="str">
        <x:f>IF($A87="","",COUNTIF(Scoring!$B$2:$B$500,$A87))</x:f>
      </x:c>
      <x:c r="E87" s="18" t="str">
        <x:f>IF($A87="","",SUMIF(Scoring!$B$2:$B$500,$A87,Scoring!$O$2:$O$500))</x:f>
      </x:c>
      <x:c r="F87" s="18" t="str">
        <x:f>IF($A87="","",IF($D87=0,"Signed up, stayed silent",IF($E87=MAX($E$4:$E$103),"In the title race","Active")))</x:f>
      </x:c>
    </x:row>
    <x:row r="88">
      <x:c r="A88" s="18" t="n">
        <x:f>Leaderboard!B88</x:f>
        <x:v>0</x:v>
      </x:c>
      <x:c r="B88" s="18"/>
      <x:c r="C88" s="18"/>
      <x:c r="D88" s="18" t="str">
        <x:f>IF($A88="","",COUNTIF(Scoring!$B$2:$B$500,$A88))</x:f>
      </x:c>
      <x:c r="E88" s="18" t="str">
        <x:f>IF($A88="","",SUMIF(Scoring!$B$2:$B$500,$A88,Scoring!$O$2:$O$500))</x:f>
      </x:c>
      <x:c r="F88" s="18" t="str">
        <x:f>IF($A88="","",IF($D88=0,"Signed up, stayed silent",IF($E88=MAX($E$4:$E$103),"In the title race","Active")))</x:f>
      </x:c>
    </x:row>
    <x:row r="89">
      <x:c r="A89" s="18" t="n">
        <x:f>Leaderboard!B89</x:f>
        <x:v>0</x:v>
      </x:c>
      <x:c r="B89" s="18"/>
      <x:c r="C89" s="18"/>
      <x:c r="D89" s="18" t="str">
        <x:f>IF($A89="","",COUNTIF(Scoring!$B$2:$B$500,$A89))</x:f>
      </x:c>
      <x:c r="E89" s="18" t="str">
        <x:f>IF($A89="","",SUMIF(Scoring!$B$2:$B$500,$A89,Scoring!$O$2:$O$500))</x:f>
      </x:c>
      <x:c r="F89" s="18" t="str">
        <x:f>IF($A89="","",IF($D89=0,"Signed up, stayed silent",IF($E89=MAX($E$4:$E$103),"In the title race","Active")))</x:f>
      </x:c>
    </x:row>
    <x:row r="90">
      <x:c r="A90" s="18" t="n">
        <x:f>Leaderboard!B90</x:f>
        <x:v>0</x:v>
      </x:c>
      <x:c r="B90" s="18"/>
      <x:c r="C90" s="18"/>
      <x:c r="D90" s="18" t="str">
        <x:f>IF($A90="","",COUNTIF(Scoring!$B$2:$B$500,$A90))</x:f>
      </x:c>
      <x:c r="E90" s="18" t="str">
        <x:f>IF($A90="","",SUMIF(Scoring!$B$2:$B$500,$A90,Scoring!$O$2:$O$500))</x:f>
      </x:c>
      <x:c r="F90" s="18" t="str">
        <x:f>IF($A90="","",IF($D90=0,"Signed up, stayed silent",IF($E90=MAX($E$4:$E$103),"In the title race","Active")))</x:f>
      </x:c>
    </x:row>
    <x:row r="91">
      <x:c r="A91" s="18" t="n">
        <x:f>Leaderboard!B91</x:f>
        <x:v>0</x:v>
      </x:c>
      <x:c r="B91" s="18"/>
      <x:c r="C91" s="18"/>
      <x:c r="D91" s="18" t="str">
        <x:f>IF($A91="","",COUNTIF(Scoring!$B$2:$B$500,$A91))</x:f>
      </x:c>
      <x:c r="E91" s="18" t="str">
        <x:f>IF($A91="","",SUMIF(Scoring!$B$2:$B$500,$A91,Scoring!$O$2:$O$500))</x:f>
      </x:c>
      <x:c r="F91" s="18" t="str">
        <x:f>IF($A91="","",IF($D91=0,"Signed up, stayed silent",IF($E91=MAX($E$4:$E$103),"In the title race","Active")))</x:f>
      </x:c>
    </x:row>
    <x:row r="92">
      <x:c r="A92" s="18" t="n">
        <x:f>Leaderboard!B92</x:f>
        <x:v>0</x:v>
      </x:c>
      <x:c r="B92" s="18"/>
      <x:c r="C92" s="18"/>
      <x:c r="D92" s="18" t="str">
        <x:f>IF($A92="","",COUNTIF(Scoring!$B$2:$B$500,$A92))</x:f>
      </x:c>
      <x:c r="E92" s="18" t="str">
        <x:f>IF($A92="","",SUMIF(Scoring!$B$2:$B$500,$A92,Scoring!$O$2:$O$500))</x:f>
      </x:c>
      <x:c r="F92" s="18" t="str">
        <x:f>IF($A92="","",IF($D92=0,"Signed up, stayed silent",IF($E92=MAX($E$4:$E$103),"In the title race","Active")))</x:f>
      </x:c>
    </x:row>
    <x:row r="93">
      <x:c r="A93" s="18" t="n">
        <x:f>Leaderboard!B93</x:f>
        <x:v>0</x:v>
      </x:c>
      <x:c r="B93" s="18"/>
      <x:c r="C93" s="18"/>
      <x:c r="D93" s="18" t="str">
        <x:f>IF($A93="","",COUNTIF(Scoring!$B$2:$B$500,$A93))</x:f>
      </x:c>
      <x:c r="E93" s="18" t="str">
        <x:f>IF($A93="","",SUMIF(Scoring!$B$2:$B$500,$A93,Scoring!$O$2:$O$500))</x:f>
      </x:c>
      <x:c r="F93" s="18" t="str">
        <x:f>IF($A93="","",IF($D93=0,"Signed up, stayed silent",IF($E93=MAX($E$4:$E$103),"In the title race","Active")))</x:f>
      </x:c>
    </x:row>
    <x:row r="94">
      <x:c r="A94" s="18" t="n">
        <x:f>Leaderboard!B94</x:f>
        <x:v>0</x:v>
      </x:c>
      <x:c r="B94" s="18"/>
      <x:c r="C94" s="18"/>
      <x:c r="D94" s="18" t="str">
        <x:f>IF($A94="","",COUNTIF(Scoring!$B$2:$B$500,$A94))</x:f>
      </x:c>
      <x:c r="E94" s="18" t="str">
        <x:f>IF($A94="","",SUMIF(Scoring!$B$2:$B$500,$A94,Scoring!$O$2:$O$500))</x:f>
      </x:c>
      <x:c r="F94" s="18" t="str">
        <x:f>IF($A94="","",IF($D94=0,"Signed up, stayed silent",IF($E94=MAX($E$4:$E$103),"In the title race","Active")))</x:f>
      </x:c>
    </x:row>
    <x:row r="95">
      <x:c r="A95" s="18" t="n">
        <x:f>Leaderboard!B95</x:f>
        <x:v>0</x:v>
      </x:c>
      <x:c r="B95" s="18"/>
      <x:c r="C95" s="18"/>
      <x:c r="D95" s="18" t="str">
        <x:f>IF($A95="","",COUNTIF(Scoring!$B$2:$B$500,$A95))</x:f>
      </x:c>
      <x:c r="E95" s="18" t="str">
        <x:f>IF($A95="","",SUMIF(Scoring!$B$2:$B$500,$A95,Scoring!$O$2:$O$500))</x:f>
      </x:c>
      <x:c r="F95" s="18" t="str">
        <x:f>IF($A95="","",IF($D95=0,"Signed up, stayed silent",IF($E95=MAX($E$4:$E$103),"In the title race","Active")))</x:f>
      </x:c>
    </x:row>
    <x:row r="96">
      <x:c r="A96" s="18" t="n">
        <x:f>Leaderboard!B96</x:f>
        <x:v>0</x:v>
      </x:c>
      <x:c r="B96" s="18"/>
      <x:c r="C96" s="18"/>
      <x:c r="D96" s="18" t="str">
        <x:f>IF($A96="","",COUNTIF(Scoring!$B$2:$B$500,$A96))</x:f>
      </x:c>
      <x:c r="E96" s="18" t="str">
        <x:f>IF($A96="","",SUMIF(Scoring!$B$2:$B$500,$A96,Scoring!$O$2:$O$500))</x:f>
      </x:c>
      <x:c r="F96" s="18" t="str">
        <x:f>IF($A96="","",IF($D96=0,"Signed up, stayed silent",IF($E96=MAX($E$4:$E$103),"In the title race","Active")))</x:f>
      </x:c>
    </x:row>
    <x:row r="97">
      <x:c r="A97" s="18" t="n">
        <x:f>Leaderboard!B97</x:f>
        <x:v>0</x:v>
      </x:c>
      <x:c r="B97" s="18"/>
      <x:c r="C97" s="18"/>
      <x:c r="D97" s="18" t="str">
        <x:f>IF($A97="","",COUNTIF(Scoring!$B$2:$B$500,$A97))</x:f>
      </x:c>
      <x:c r="E97" s="18" t="str">
        <x:f>IF($A97="","",SUMIF(Scoring!$B$2:$B$500,$A97,Scoring!$O$2:$O$500))</x:f>
      </x:c>
      <x:c r="F97" s="18" t="str">
        <x:f>IF($A97="","",IF($D97=0,"Signed up, stayed silent",IF($E97=MAX($E$4:$E$103),"In the title race","Active")))</x:f>
      </x:c>
    </x:row>
    <x:row r="98">
      <x:c r="A98" s="18" t="n">
        <x:f>Leaderboard!B98</x:f>
        <x:v>0</x:v>
      </x:c>
      <x:c r="B98" s="18"/>
      <x:c r="C98" s="18"/>
      <x:c r="D98" s="18" t="str">
        <x:f>IF($A98="","",COUNTIF(Scoring!$B$2:$B$500,$A98))</x:f>
      </x:c>
      <x:c r="E98" s="18" t="str">
        <x:f>IF($A98="","",SUMIF(Scoring!$B$2:$B$500,$A98,Scoring!$O$2:$O$500))</x:f>
      </x:c>
      <x:c r="F98" s="18" t="str">
        <x:f>IF($A98="","",IF($D98=0,"Signed up, stayed silent",IF($E98=MAX($E$4:$E$103),"In the title race","Active")))</x:f>
      </x:c>
    </x:row>
    <x:row r="99">
      <x:c r="A99" s="18" t="n">
        <x:f>Leaderboard!B99</x:f>
        <x:v>0</x:v>
      </x:c>
      <x:c r="B99" s="18"/>
      <x:c r="C99" s="18"/>
      <x:c r="D99" s="18" t="str">
        <x:f>IF($A99="","",COUNTIF(Scoring!$B$2:$B$500,$A99))</x:f>
      </x:c>
      <x:c r="E99" s="18" t="str">
        <x:f>IF($A99="","",SUMIF(Scoring!$B$2:$B$500,$A99,Scoring!$O$2:$O$500))</x:f>
      </x:c>
      <x:c r="F99" s="18" t="str">
        <x:f>IF($A99="","",IF($D99=0,"Signed up, stayed silent",IF($E99=MAX($E$4:$E$103),"In the title race","Active")))</x:f>
      </x:c>
    </x:row>
    <x:row r="100">
      <x:c r="A100" s="18" t="n">
        <x:f>Leaderboard!B100</x:f>
        <x:v>0</x:v>
      </x:c>
      <x:c r="B100" s="18"/>
      <x:c r="C100" s="18"/>
      <x:c r="D100" s="18" t="str">
        <x:f>IF($A100="","",COUNTIF(Scoring!$B$2:$B$500,$A100))</x:f>
      </x:c>
      <x:c r="E100" s="18" t="str">
        <x:f>IF($A100="","",SUMIF(Scoring!$B$2:$B$500,$A100,Scoring!$O$2:$O$500))</x:f>
      </x:c>
      <x:c r="F100" s="18" t="str">
        <x:f>IF($A100="","",IF($D100=0,"Signed up, stayed silent",IF($E100=MAX($E$4:$E$103),"In the title race","Active")))</x:f>
      </x:c>
    </x:row>
    <x:row r="101">
      <x:c r="A101" s="18" t="n">
        <x:f>Leaderboard!B101</x:f>
        <x:v>0</x:v>
      </x:c>
      <x:c r="B101" s="18"/>
      <x:c r="C101" s="18"/>
      <x:c r="D101" s="18" t="str">
        <x:f>IF($A101="","",COUNTIF(Scoring!$B$2:$B$500,$A101))</x:f>
      </x:c>
      <x:c r="E101" s="18" t="str">
        <x:f>IF($A101="","",SUMIF(Scoring!$B$2:$B$500,$A101,Scoring!$O$2:$O$500))</x:f>
      </x:c>
      <x:c r="F101" s="18" t="str">
        <x:f>IF($A101="","",IF($D101=0,"Signed up, stayed silent",IF($E101=MAX($E$4:$E$103),"In the title race","Active")))</x:f>
      </x:c>
    </x:row>
    <x:row r="102">
      <x:c r="A102" s="18" t="n">
        <x:f>Leaderboard!B102</x:f>
        <x:v>0</x:v>
      </x:c>
      <x:c r="B102" s="18"/>
      <x:c r="C102" s="18"/>
      <x:c r="D102" s="18" t="str">
        <x:f>IF($A102="","",COUNTIF(Scoring!$B$2:$B$500,$A102))</x:f>
      </x:c>
      <x:c r="E102" s="18" t="str">
        <x:f>IF($A102="","",SUMIF(Scoring!$B$2:$B$500,$A102,Scoring!$O$2:$O$500))</x:f>
      </x:c>
      <x:c r="F102" s="18" t="str">
        <x:f>IF($A102="","",IF($D102=0,"Signed up, stayed silent",IF($E102=MAX($E$4:$E$103),"In the title race","Active")))</x:f>
      </x:c>
    </x:row>
    <x:row r="103">
      <x:c r="A103" s="18" t="n">
        <x:f>Leaderboard!B103</x:f>
        <x:v>0</x:v>
      </x:c>
      <x:c r="B103" s="18"/>
      <x:c r="C103" s="18"/>
      <x:c r="D103" s="18" t="str">
        <x:f>IF($A103="","",COUNTIF(Scoring!$B$2:$B$500,$A103))</x:f>
      </x:c>
      <x:c r="E103" s="18" t="str">
        <x:f>IF($A103="","",SUMIF(Scoring!$B$2:$B$500,$A103,Scoring!$O$2:$O$500))</x:f>
      </x:c>
      <x:c r="F103" s="18" t="str">
        <x:f>IF($A103="","",IF($D103=0,"Signed up, stayed silent",IF($E103=MAX($E$4:$E$103),"In the title race","Active")))</x:f>
      </x:c>
    </x:row>
  </x:sheetData>
  <x:mergeCells>
    <x:mergeCell ref="A1:F1"/>
  </x:mergeCells>
  <x:pageMargins left="0.7" right="0.7" top="0.75" bottom="0.75" header="0.3" footer="0.3"/>
</x:worksheet>
</file>